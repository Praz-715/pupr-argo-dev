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isa Tasya Azhari\Downloads\"/>
    </mc:Choice>
  </mc:AlternateContent>
  <xr:revisionPtr revIDLastSave="0" documentId="13_ncr:1_{9FF8EF56-EFC0-4F66-BD23-1F69C5A58B0A}" xr6:coauthVersionLast="47" xr6:coauthVersionMax="47" xr10:uidLastSave="{00000000-0000-0000-0000-000000000000}"/>
  <bookViews>
    <workbookView xWindow="4110" yWindow="1965" windowWidth="22440" windowHeight="13515" firstSheet="5" activeTab="5" xr2:uid="{3D5D9E53-BF79-4E14-AB9F-EEEDDDBAF8E8}"/>
  </bookViews>
  <sheets>
    <sheet name="kerangka talent pool" sheetId="1" r:id="rId1"/>
    <sheet name="TALENT POOLdata-Dir Pengadaan" sheetId="2" r:id="rId2"/>
    <sheet name="TALENT POOLdata-Ka BP2JK" sheetId="3" r:id="rId3"/>
    <sheet name="TALENT POOLdata-kdsbt sist" sheetId="4" r:id="rId4"/>
    <sheet name="edit talet pool dir pengadaan" sheetId="5" r:id="rId5"/>
    <sheet name="Persyaratan Jabatan" sheetId="6" r:id="rId6"/>
    <sheet name="Sample" sheetId="8" r:id="rId7"/>
  </sheets>
  <definedNames>
    <definedName name="_xlnm.Print_Area" localSheetId="4">'edit talet pool dir pengadaan'!$A$1:$L$40</definedName>
    <definedName name="_xlnm.Print_Titles" localSheetId="4">'edit talet pool dir pengadaan'!$3:$3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4" i="8" l="1"/>
  <c r="O45" i="8" s="1"/>
  <c r="O43" i="8"/>
  <c r="O38" i="8"/>
  <c r="O23" i="8"/>
  <c r="O20" i="8"/>
  <c r="O18" i="8"/>
  <c r="O14" i="8"/>
  <c r="O11" i="8"/>
  <c r="O4" i="8"/>
  <c r="M45" i="8"/>
  <c r="M44" i="8"/>
  <c r="M23" i="8"/>
  <c r="M14" i="8"/>
  <c r="M18" i="8"/>
  <c r="M20" i="8"/>
  <c r="M36" i="8"/>
  <c r="M10" i="8"/>
</calcChain>
</file>

<file path=xl/sharedStrings.xml><?xml version="1.0" encoding="utf-8"?>
<sst xmlns="http://schemas.openxmlformats.org/spreadsheetml/2006/main" count="617" uniqueCount="143">
  <si>
    <t>Parameter</t>
  </si>
  <si>
    <t>Komponen</t>
  </si>
  <si>
    <t>Bobot Komponen</t>
  </si>
  <si>
    <t>Indikator</t>
  </si>
  <si>
    <t>Bobot Indikator</t>
  </si>
  <si>
    <t>Kinerja Utama</t>
  </si>
  <si>
    <t>Penilaian Kinerja</t>
  </si>
  <si>
    <t>Potensi &amp; Kompetensi</t>
  </si>
  <si>
    <t>Penilaian Potensi dan Kompetensi</t>
  </si>
  <si>
    <t>Kualifikasi Jabatan</t>
  </si>
  <si>
    <t>Tingkat Pendidikan Formal</t>
  </si>
  <si>
    <t>Kesesuaian Bidang Ilmu</t>
  </si>
  <si>
    <t xml:space="preserve">Integritas &amp; Moralitas </t>
  </si>
  <si>
    <t>Verifikasi Rekam Jejak Disiplin</t>
  </si>
  <si>
    <t>KERANGKA TALENT POOL ASN DIREKTORAT JENDERAL BINA KONSTRUKSI</t>
  </si>
  <si>
    <t>Sangat Baik</t>
  </si>
  <si>
    <t>Baik</t>
  </si>
  <si>
    <t>Butuh Perbaikan</t>
  </si>
  <si>
    <t>Kurang</t>
  </si>
  <si>
    <t>Sangat Kurang</t>
  </si>
  <si>
    <t xml:space="preserve">Kategori </t>
  </si>
  <si>
    <t>Nilai Kinerja (Sumbu Y)</t>
  </si>
  <si>
    <t>Nilai Potensial (Sumbu X)</t>
  </si>
  <si>
    <t>Sesuai Ekspektasi</t>
  </si>
  <si>
    <t>Di Bawah Ekspektasi</t>
  </si>
  <si>
    <t>Di Atas Ekspektasi</t>
  </si>
  <si>
    <t>≥80 - 100</t>
  </si>
  <si>
    <t>≥60 - &lt;80</t>
  </si>
  <si>
    <t>&lt;60</t>
  </si>
  <si>
    <t>Tinggi</t>
  </si>
  <si>
    <t>Menengah</t>
  </si>
  <si>
    <t>Rendah</t>
  </si>
  <si>
    <t>Memenuhi Syarat</t>
  </si>
  <si>
    <t>Masih Memenuhi Syarat</t>
  </si>
  <si>
    <t>Kurang Memenuhi Syarat</t>
  </si>
  <si>
    <t xml:space="preserve">                                 </t>
  </si>
  <si>
    <t>≥68 - &lt;80</t>
  </si>
  <si>
    <t>≥80</t>
  </si>
  <si>
    <t>&lt;68</t>
  </si>
  <si>
    <t>atau (Total Nilai Potkom Hasil Asesmen /Total Nilai Maksimal Potkom)*100</t>
  </si>
  <si>
    <t xml:space="preserve">Doktor </t>
  </si>
  <si>
    <t>Magister</t>
  </si>
  <si>
    <t>S1/DIV</t>
  </si>
  <si>
    <t>DIII</t>
  </si>
  <si>
    <t>SLTA</t>
  </si>
  <si>
    <t>Memiliki riwayat pendidikan dalam bidang ilmu yang sesuai dengan jabatan target</t>
  </si>
  <si>
    <t>Tidak pernah dijatuhi Hukdis</t>
  </si>
  <si>
    <t>Pernah dijatuhi Hukdis Ringan</t>
  </si>
  <si>
    <t>Pernah dijatuhi Hukdis Sedang</t>
  </si>
  <si>
    <t>Pernah dijatuhi Hukdis Berat</t>
  </si>
  <si>
    <t>Sedang menjalani hukdis</t>
  </si>
  <si>
    <t>Pengembangan Kompetensi</t>
  </si>
  <si>
    <t>Tidak memiliki riwayat pendidikan dalam bidang ilmu yang sesuai dengan jabatan target</t>
  </si>
  <si>
    <t>Memiliki riwayat pengembangan kompetensi dalam bidang yang sesuai dengan jabatan target</t>
  </si>
  <si>
    <t>Tidak memiliki riwayat pengembangan kompetensi dalam bidang yang sesuai dengan jabatan target</t>
  </si>
  <si>
    <t>Lama Jabatan</t>
  </si>
  <si>
    <t>Memiliki masa kerja dalam jenjang jabatan 5 tahun ke atas</t>
  </si>
  <si>
    <t>Memiliki masa kerja dalam jenjang jabatan 3 sampai dengan 4 tahun</t>
  </si>
  <si>
    <t>Memiliki masa kerja dalam jenjang jabatan kurang dari 2 tahun</t>
  </si>
  <si>
    <t>Keragaman Riwayat Jabatan</t>
  </si>
  <si>
    <t>Memiliki pengalaman jabatan lintas Unit Kerja</t>
  </si>
  <si>
    <t>Memiliki pengalaman jabatan lintas Unit Organisasi</t>
  </si>
  <si>
    <t>Memiliki pengalaman jabatan Satu Unit Kerja</t>
  </si>
  <si>
    <t>Nilai Pengalaman Jabatan</t>
  </si>
  <si>
    <t>Substansi  Riwayat Jabatan</t>
  </si>
  <si>
    <t>Memiliki riwayat jabatan yang berkaitan dengan jabatan target</t>
  </si>
  <si>
    <t>Tidak Memiliki riwayat jabatan yang berkaitan dengan jabatan target</t>
  </si>
  <si>
    <t xml:space="preserve"> </t>
  </si>
  <si>
    <t>Kebutuhan Data</t>
  </si>
  <si>
    <t>Sumber</t>
  </si>
  <si>
    <t>Nilai Potkom Jabatan saat ini</t>
  </si>
  <si>
    <t>https://karir.pu.go.id/enom</t>
  </si>
  <si>
    <t>Predikat Kinerja Triwulan IV 2025/akhir tahun PNS</t>
  </si>
  <si>
    <t>Pendidikan PNS</t>
  </si>
  <si>
    <t>https://ehrm.pu.go.id/layanan-kepegawaian</t>
  </si>
  <si>
    <t>Jurusan S1 Pendidikan PNS</t>
  </si>
  <si>
    <t>Untuk Jabatan Pengadaan : semua jurusan</t>
  </si>
  <si>
    <t>memiliki pelatihan/sertifikat pengadaan barang dan jasa</t>
  </si>
  <si>
    <t>Jenis Diklat / Sertifikat</t>
  </si>
  <si>
    <t>input manual</t>
  </si>
  <si>
    <t>memiliki pengalaman riwayat jabatan terkait pengadaan barang/jasa misal kepala BP2JK/Kasubdit di Dit Pengadaaan Jasa Konstruksi</t>
  </si>
  <si>
    <t>memiliki pengalaman jabatan es 3 (kasubdit/kabid)</t>
  </si>
  <si>
    <t>Memiliki pengalaman jabatan lintas Unit Organisasi/diluar bina konstruksi</t>
  </si>
  <si>
    <t>Memiliki pengalaman jabatan lintas Unit Kerja/antar direkorat atau balai di DJBK</t>
  </si>
  <si>
    <t>JABATAN TARGET : DIREKTUR PENGADAAN JASA KONSTRUKSI</t>
  </si>
  <si>
    <t>Cek syarat jabatan dir pengadaan/S1 Semua Jurusan</t>
  </si>
  <si>
    <t>memiliki pengalaman es 3 di luar bidang pengadaan barang/jasa</t>
  </si>
  <si>
    <t>pengalaman eselon 3 terkait pengadaan barang/jasa (Kepala BP2JK, Kepala subdit  Kontrak Konstruksi, Kepala Subdit Sistem Pengadaan Jasa Konstruksi,Kepala Subdirektorat Pengelolaan Katalog Elektronik, Kepala Subdirektorat Fasilitasi dan Kelembagaan Pengadaan Jasa Konstruksi,</t>
  </si>
  <si>
    <t>Memiliki pengalaman penugasan sbg Pelaksana Tugas/Plt Pada jenjang jabatan yang lebih tinggi</t>
  </si>
  <si>
    <t>Memiliki pengalaman penugasan sbg Pelaksana Tugas/Plt Pada jenjang jabatan yang setara</t>
  </si>
  <si>
    <t>Memiliki pengalaman penugasan sbg Pelaksana Harian/Plh Pada jenjang jabatan yang lebih tinggi</t>
  </si>
  <si>
    <t>Memiliki pengalaman penugasan sbg Pelaksana Harian/Plh Pada jenjang jabatan yang setara</t>
  </si>
  <si>
    <t>Tidak Memiliki riwayat jabatan yang berkaitan dengan jabatan non defenitif</t>
  </si>
  <si>
    <t>JABATAN TARGET : KEPALA BALAI BP2JK</t>
  </si>
  <si>
    <t>pengalaman eselon 4 terkait pengadaan barang/jasa (Kepala Subbag TU BP2JK, Jafung Pembina Jasa Konstruksi Ahli Madya, Jafung Pengelola Pengadaan Barang/Jasa Ahli Madya</t>
  </si>
  <si>
    <t>memiliki pengalaman es 4, Jafung Pembina Jasa Konstruksi Ahli Madya, Jafung Pengelola Pengadaan Barang/Jasa Ahli Madya di luar bidang pengadaan barang/jasa</t>
  </si>
  <si>
    <t>JABATAN TARGET : KEPALA SUBDIREKTORAT SISTEM INFORMASI DIT PENGADAAN</t>
  </si>
  <si>
    <t>Data Riwayat Pendidikan PNS - Jurusan / Bidang Studi</t>
  </si>
  <si>
    <t>Data Riwayat Pendidikan PNS-PENDIDIKAN</t>
  </si>
  <si>
    <t>Data Riwayat Diklat / Sertifikasi Keahlian PNS</t>
  </si>
  <si>
    <t>Data Riwayat Jabatan PNS</t>
  </si>
  <si>
    <t>Nilai Talenta</t>
  </si>
  <si>
    <t>pengalaman eselon 3 terkait pengadaan barang/jasa (Kepala BP2JK, Kepala subdit  Kontrak Konstruksi, Kepala Subdit Sistem Pengadaan Jasa Konstruksi,Kepala Subdirektorat Pengelolaan Katalog Elektronik, Kepala Subdirektorat Fasilitasi dan Kelembagaan Pengadaan Jasa Konstruksi.</t>
  </si>
  <si>
    <t>No</t>
  </si>
  <si>
    <t>Jabatan</t>
  </si>
  <si>
    <t>Pendidikan</t>
  </si>
  <si>
    <t>Pelatihan</t>
  </si>
  <si>
    <t>Pengalaman Kerja</t>
  </si>
  <si>
    <t>Golongan</t>
  </si>
  <si>
    <t>Kasubdit Sistem Pengadaan Jasa Konstruksi</t>
  </si>
  <si>
    <t>Kasubdit Fasilitasi dan Kelembagaan Pengadaan Jasa Konstruksi</t>
  </si>
  <si>
    <t>Kasubdit Pengelolaan Katalog Elektronik</t>
  </si>
  <si>
    <t>Kasubdit Kontrak Kontruksi</t>
  </si>
  <si>
    <t>Kasubag TU</t>
  </si>
  <si>
    <t>Direktur Pengadaan Jasa Konstruksi</t>
  </si>
  <si>
    <t>Kepala Balai Pelaksana Pemilihan Jasa Konstruksi</t>
  </si>
  <si>
    <t>Kasubag Umum dan Tata Usaha</t>
  </si>
  <si>
    <t>D4/S1</t>
  </si>
  <si>
    <t>S2</t>
  </si>
  <si>
    <r>
      <rPr>
        <b/>
        <sz val="11"/>
        <color theme="1"/>
        <rFont val="Calibri"/>
        <family val="2"/>
        <scheme val="minor"/>
      </rPr>
      <t>Pelatihan Manajerial</t>
    </r>
    <r>
      <rPr>
        <sz val="11"/>
        <color theme="1"/>
        <rFont val="Calibri"/>
        <family val="2"/>
        <scheme val="minor"/>
      </rPr>
      <t xml:space="preserve"> (Diklat Kepemimpinan/ Diklat PIM III/ Pelatihan Kepemimpinan Administrator)
</t>
    </r>
    <r>
      <rPr>
        <b/>
        <sz val="11"/>
        <color theme="1"/>
        <rFont val="Calibri"/>
        <family val="2"/>
        <scheme val="minor"/>
      </rPr>
      <t>Pelatihan Teknis</t>
    </r>
    <r>
      <rPr>
        <sz val="11"/>
        <color theme="1"/>
        <rFont val="Calibri"/>
        <family val="2"/>
        <scheme val="minor"/>
      </rPr>
      <t xml:space="preserve"> (Pelatihan Pengadaan Barang dan Jasa/ </t>
    </r>
    <r>
      <rPr>
        <i/>
        <sz val="11"/>
        <color theme="1"/>
        <rFont val="Calibri"/>
        <family val="2"/>
        <scheme val="minor"/>
      </rPr>
      <t>Procurement</t>
    </r>
    <r>
      <rPr>
        <sz val="11"/>
        <color theme="1"/>
        <rFont val="Calibri"/>
        <family val="2"/>
        <scheme val="minor"/>
      </rPr>
      <t>, Pelatihan Hukum Kontrak, Pelatihan Manajemen Konstruksi)</t>
    </r>
  </si>
  <si>
    <r>
      <rPr>
        <b/>
        <sz val="11"/>
        <color theme="1"/>
        <rFont val="Calibri"/>
        <family val="2"/>
        <scheme val="minor"/>
      </rPr>
      <t>Pelatihan Manajerial</t>
    </r>
    <r>
      <rPr>
        <sz val="11"/>
        <color theme="1"/>
        <rFont val="Calibri"/>
        <family val="2"/>
        <scheme val="minor"/>
      </rPr>
      <t xml:space="preserve"> (Diklat Kepemimpinan/ Diklat PIM IV/ Pelatihan Kepemimpinan Pengawas)
</t>
    </r>
    <r>
      <rPr>
        <b/>
        <sz val="11"/>
        <color theme="1"/>
        <rFont val="Calibri"/>
        <family val="2"/>
        <scheme val="minor"/>
      </rPr>
      <t>Pelatihan Teknis</t>
    </r>
    <r>
      <rPr>
        <sz val="11"/>
        <color theme="1"/>
        <rFont val="Calibri"/>
        <family val="2"/>
        <scheme val="minor"/>
      </rPr>
      <t xml:space="preserve"> (Pelatihan Pengadaan Barang dan Jasa/ </t>
    </r>
    <r>
      <rPr>
        <i/>
        <sz val="11"/>
        <color theme="1"/>
        <rFont val="Calibri"/>
        <family val="2"/>
        <scheme val="minor"/>
      </rPr>
      <t>Procurement</t>
    </r>
    <r>
      <rPr>
        <sz val="11"/>
        <color theme="1"/>
        <rFont val="Calibri"/>
        <family val="2"/>
        <scheme val="minor"/>
      </rPr>
      <t>, Pelatihan Hukum Kontrak, Pelatihan Manajemen Konstruksi)</t>
    </r>
  </si>
  <si>
    <t>IVb</t>
  </si>
  <si>
    <t>IIId</t>
  </si>
  <si>
    <r>
      <rPr>
        <b/>
        <sz val="11"/>
        <color theme="1"/>
        <rFont val="Calibri"/>
        <family val="2"/>
        <scheme val="minor"/>
      </rPr>
      <t>Pelatihan Teknis</t>
    </r>
    <r>
      <rPr>
        <sz val="11"/>
        <color theme="1"/>
        <rFont val="Calibri"/>
        <family val="2"/>
        <scheme val="minor"/>
      </rPr>
      <t xml:space="preserve"> (Pelatihan Pengadaan Barang dan Jasa/ Procurement, Pelatihan Hukum Kontrak, Pelatihan Manajemen Konstruksi)
</t>
    </r>
    <r>
      <rPr>
        <b/>
        <sz val="11"/>
        <color theme="1"/>
        <rFont val="Calibri"/>
        <family val="2"/>
        <scheme val="minor"/>
      </rPr>
      <t>Pelatihan Manajemen Umum</t>
    </r>
    <r>
      <rPr>
        <sz val="11"/>
        <color theme="1"/>
        <rFont val="Calibri"/>
        <family val="2"/>
        <scheme val="minor"/>
      </rPr>
      <t xml:space="preserve"> (Pelatihan Kepatuhan Internal, Pengelolaan Manajemen Resiko, Pengelolaan BMN, Manajemen Pengembangan SDM, Sistem Akuntansi Instansi, Pelaksanaan Anggaran, Perencanaan Anggaran, Tata Persuratan dan Kearsipan</t>
    </r>
  </si>
  <si>
    <t>Bidang Pendidikan</t>
  </si>
  <si>
    <t>PP 11 2017</t>
  </si>
  <si>
    <t>Memiliki pengalaman dalam jabatan pelaksana paling singkat 4 tahun atau jabatan fungsional yang setingkat dengan jabatan pelaksana sesuai dengan bidang tugas jabatan yang akan diduduki</t>
  </si>
  <si>
    <t>Definisi</t>
  </si>
  <si>
    <r>
      <t xml:space="preserve">Sedang atau pernah jabatan administrator (kepala bagian/kepala sub direktorat/kepala bidang/kepala balai) atau jabatan fungsional  jenjang </t>
    </r>
    <r>
      <rPr>
        <b/>
        <sz val="11"/>
        <color theme="1"/>
        <rFont val="Calibri"/>
        <family val="2"/>
        <scheme val="minor"/>
      </rPr>
      <t>Ahli Madya (Pembina Jasa Konstruksi Ahli Madya/Pengelola Pengadaan Barang dan Jasa Ahli Madya)</t>
    </r>
    <r>
      <rPr>
        <sz val="11"/>
        <color theme="1"/>
        <rFont val="Calibri"/>
        <family val="2"/>
        <scheme val="minor"/>
      </rPr>
      <t xml:space="preserve"> paling singkat 2 tahun</t>
    </r>
  </si>
  <si>
    <t>Memiliki pengalaman pada jabatan pengawas (kepala subbagian/kepala seksi) paling singkat 3 tahun atau jabatan fungsional (Pembina Jasa Konstruksi Ahli Muda/Pengelola Pengadaan Barang dan Jasa Ahli Muda) yang setingkat dengan jabatan pengawas sesuai dengan bidang tugas jabatan yang akan diduduki</t>
  </si>
  <si>
    <t xml:space="preserve">Yang dimaksud dengan jabatan pelaksana adalah semua jabatan selain jabatan struktural dan fungsional yang tidak ada keterangan pemula, terampil, pelaksana lanjutan, penyelia, ahli pertama, ahli muda dan ahli madya </t>
  </si>
  <si>
    <t>Nilai 1 (Iwan)</t>
  </si>
  <si>
    <t>Nilai 2 (Mardi)</t>
  </si>
  <si>
    <t>Bagaimana jika tidak ada riwat Plt/Plh</t>
  </si>
  <si>
    <t>Bagaimana jika diklat hanya ada salah satu dr teknis/manajerial</t>
  </si>
  <si>
    <t>Bobot</t>
  </si>
  <si>
    <t>Total X</t>
  </si>
  <si>
    <t>Total Y</t>
  </si>
  <si>
    <t>Nilai Talenta Iwan</t>
  </si>
  <si>
    <t>Nilai Talenta Mardi</t>
  </si>
  <si>
    <t>IIIb</t>
  </si>
  <si>
    <t>Tarikan dari ehrm akan seperti apa?</t>
  </si>
  <si>
    <t>Teknik / Ekonomi Studi Pembangunan/ Manajemen/ Akuntansi/ Hukum/Komunikasi / Administrasi Negara/ Administrasi Publik / Teknik Informatika (semua jurusan)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</si>
</sst>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  "/>
    </font>
    <font>
      <b/>
      <sz val="11"/>
      <color theme="1"/>
      <name val="Calibri  "/>
    </font>
    <font>
      <sz val="11"/>
      <color rgb="FF333333"/>
      <name val="Calibri  "/>
    </font>
    <font>
      <b/>
      <sz val="8"/>
      <color rgb="FF333333"/>
      <name val="Open Sans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8"/>
      <color rgb="FF333333"/>
      <name val="Open Sans"/>
      <family val="2"/>
    </font>
    <font>
      <b/>
      <sz val="8"/>
      <color theme="1"/>
      <name val="Calibri  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applyFont="1" applyBorder="1"/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4" fillId="0" borderId="1" xfId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1" applyBorder="1" applyAlignment="1">
      <alignment vertical="center"/>
    </xf>
    <xf numFmtId="0" fontId="8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/>
    </xf>
    <xf numFmtId="0" fontId="8" fillId="2" borderId="0" xfId="0" applyFont="1" applyFill="1" applyAlignment="1">
      <alignment vertical="center" wrapText="1"/>
    </xf>
    <xf numFmtId="0" fontId="5" fillId="2" borderId="1" xfId="0" applyFont="1" applyFill="1" applyBorder="1"/>
    <xf numFmtId="9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9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/>
    <xf numFmtId="0" fontId="0" fillId="3" borderId="1" xfId="0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</xdr:row>
      <xdr:rowOff>0</xdr:rowOff>
    </xdr:from>
    <xdr:to>
      <xdr:col>32</xdr:col>
      <xdr:colOff>382090</xdr:colOff>
      <xdr:row>11</xdr:row>
      <xdr:rowOff>160083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C2C4FC-7792-133F-ACE4-992D77686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53160" y="2171700"/>
          <a:ext cx="12574090" cy="723963"/>
        </a:xfrm>
        <a:prstGeom prst="rect">
          <a:avLst/>
        </a:prstGeom>
      </xdr:spPr>
    </xdr:pic>
    <xdr:clientData/>
  </xdr:twoCellAnchor>
  <xdr:twoCellAnchor editAs="oneCell">
    <xdr:from>
      <xdr:col>12</xdr:col>
      <xdr:colOff>99060</xdr:colOff>
      <xdr:row>3</xdr:row>
      <xdr:rowOff>30930</xdr:rowOff>
    </xdr:from>
    <xdr:to>
      <xdr:col>32</xdr:col>
      <xdr:colOff>542127</xdr:colOff>
      <xdr:row>6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D70680-7D2D-1E8D-5283-CD1A6F257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52220" y="762450"/>
          <a:ext cx="12635067" cy="117303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</xdr:colOff>
      <xdr:row>12</xdr:row>
      <xdr:rowOff>0</xdr:rowOff>
    </xdr:from>
    <xdr:to>
      <xdr:col>32</xdr:col>
      <xdr:colOff>8675</xdr:colOff>
      <xdr:row>14</xdr:row>
      <xdr:rowOff>114357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A7FEE3-C415-BF6E-685B-D5A12C9C1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83640" y="3093720"/>
          <a:ext cx="12170195" cy="66299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32</xdr:col>
      <xdr:colOff>16298</xdr:colOff>
      <xdr:row>19</xdr:row>
      <xdr:rowOff>731583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5A5ED4-CB1A-40C3-A86A-6E21814F6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53160" y="5288280"/>
          <a:ext cx="12208298" cy="73158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32</xdr:col>
      <xdr:colOff>46781</xdr:colOff>
      <xdr:row>22</xdr:row>
      <xdr:rowOff>373439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EC6ECCC-E338-6368-E550-2F6669934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853160" y="6903720"/>
          <a:ext cx="12238781" cy="6858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</xdr:row>
      <xdr:rowOff>0</xdr:rowOff>
    </xdr:from>
    <xdr:to>
      <xdr:col>32</xdr:col>
      <xdr:colOff>382090</xdr:colOff>
      <xdr:row>11</xdr:row>
      <xdr:rowOff>160083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DFA7A4-BDA8-4ECD-806B-296861699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57860" y="2430780"/>
          <a:ext cx="12574090" cy="723963"/>
        </a:xfrm>
        <a:prstGeom prst="rect">
          <a:avLst/>
        </a:prstGeom>
      </xdr:spPr>
    </xdr:pic>
    <xdr:clientData/>
  </xdr:twoCellAnchor>
  <xdr:twoCellAnchor editAs="oneCell">
    <xdr:from>
      <xdr:col>12</xdr:col>
      <xdr:colOff>99060</xdr:colOff>
      <xdr:row>3</xdr:row>
      <xdr:rowOff>30930</xdr:rowOff>
    </xdr:from>
    <xdr:to>
      <xdr:col>32</xdr:col>
      <xdr:colOff>542127</xdr:colOff>
      <xdr:row>6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5E1DCB-DAB0-4CF9-96ED-2B080AF6B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56920" y="846270"/>
          <a:ext cx="12635067" cy="117303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</xdr:colOff>
      <xdr:row>12</xdr:row>
      <xdr:rowOff>0</xdr:rowOff>
    </xdr:from>
    <xdr:to>
      <xdr:col>32</xdr:col>
      <xdr:colOff>8675</xdr:colOff>
      <xdr:row>14</xdr:row>
      <xdr:rowOff>114357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26DA16-E5E8-48E4-A0BE-7EDAAA6B3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88340" y="3177540"/>
          <a:ext cx="12170195" cy="66299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32</xdr:col>
      <xdr:colOff>16298</xdr:colOff>
      <xdr:row>19</xdr:row>
      <xdr:rowOff>731583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2DA574-20A1-489E-9AF9-9885E0C51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57860" y="5372100"/>
          <a:ext cx="12208298" cy="73158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32</xdr:col>
      <xdr:colOff>46781</xdr:colOff>
      <xdr:row>22</xdr:row>
      <xdr:rowOff>373439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4C23D55-AAA9-4696-9975-7C7E6C7BF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57860" y="6987540"/>
          <a:ext cx="12238781" cy="6858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</xdr:row>
      <xdr:rowOff>0</xdr:rowOff>
    </xdr:from>
    <xdr:to>
      <xdr:col>32</xdr:col>
      <xdr:colOff>382090</xdr:colOff>
      <xdr:row>11</xdr:row>
      <xdr:rowOff>160083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BE1023-8A34-4C8B-9653-3BE9F1B1E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57860" y="2430780"/>
          <a:ext cx="12574090" cy="723963"/>
        </a:xfrm>
        <a:prstGeom prst="rect">
          <a:avLst/>
        </a:prstGeom>
      </xdr:spPr>
    </xdr:pic>
    <xdr:clientData/>
  </xdr:twoCellAnchor>
  <xdr:twoCellAnchor editAs="oneCell">
    <xdr:from>
      <xdr:col>12</xdr:col>
      <xdr:colOff>99060</xdr:colOff>
      <xdr:row>3</xdr:row>
      <xdr:rowOff>30930</xdr:rowOff>
    </xdr:from>
    <xdr:to>
      <xdr:col>32</xdr:col>
      <xdr:colOff>542127</xdr:colOff>
      <xdr:row>6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99DBF1-4D75-43E6-9E27-69F4C3ACA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56920" y="846270"/>
          <a:ext cx="12635067" cy="117303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</xdr:colOff>
      <xdr:row>12</xdr:row>
      <xdr:rowOff>0</xdr:rowOff>
    </xdr:from>
    <xdr:to>
      <xdr:col>32</xdr:col>
      <xdr:colOff>8675</xdr:colOff>
      <xdr:row>13</xdr:row>
      <xdr:rowOff>129597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F164EA-AB85-41F1-AC96-670508A41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88340" y="3177540"/>
          <a:ext cx="12170195" cy="66299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32</xdr:col>
      <xdr:colOff>16298</xdr:colOff>
      <xdr:row>19</xdr:row>
      <xdr:rowOff>731583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FA455A-8DC1-43E9-87B5-CDB8E8BCD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57860" y="5372100"/>
          <a:ext cx="12208298" cy="73158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32</xdr:col>
      <xdr:colOff>46781</xdr:colOff>
      <xdr:row>22</xdr:row>
      <xdr:rowOff>243899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5E4C26-DA77-48D8-BEA1-747214C33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57860" y="6987540"/>
          <a:ext cx="12238781" cy="685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ehrm.pu.go.id/layanan-kepegawaian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ehrm.pu.go.id/layanan-kepegawaian" TargetMode="External"/><Relationship Id="rId1" Type="http://schemas.openxmlformats.org/officeDocument/2006/relationships/hyperlink" Target="https://karir.pu.go.id/enom" TargetMode="External"/><Relationship Id="rId6" Type="http://schemas.openxmlformats.org/officeDocument/2006/relationships/hyperlink" Target="https://karir.pu.go.id/enom" TargetMode="External"/><Relationship Id="rId5" Type="http://schemas.openxmlformats.org/officeDocument/2006/relationships/hyperlink" Target="https://ehrm.pu.go.id/layanan-kepegawaian" TargetMode="External"/><Relationship Id="rId4" Type="http://schemas.openxmlformats.org/officeDocument/2006/relationships/hyperlink" Target="https://ehrm.pu.go.id/layanan-kepegawaia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https://ehrm.pu.go.id/layanan-kepegawaian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ehrm.pu.go.id/layanan-kepegawaian" TargetMode="External"/><Relationship Id="rId1" Type="http://schemas.openxmlformats.org/officeDocument/2006/relationships/hyperlink" Target="https://karir.pu.go.id/enom" TargetMode="External"/><Relationship Id="rId6" Type="http://schemas.openxmlformats.org/officeDocument/2006/relationships/hyperlink" Target="https://karir.pu.go.id/enom" TargetMode="External"/><Relationship Id="rId5" Type="http://schemas.openxmlformats.org/officeDocument/2006/relationships/hyperlink" Target="https://ehrm.pu.go.id/layanan-kepegawaian" TargetMode="External"/><Relationship Id="rId4" Type="http://schemas.openxmlformats.org/officeDocument/2006/relationships/hyperlink" Target="https://ehrm.pu.go.id/layanan-kepegawaia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https://ehrm.pu.go.id/layanan-kepegawaian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ehrm.pu.go.id/layanan-kepegawaian" TargetMode="External"/><Relationship Id="rId1" Type="http://schemas.openxmlformats.org/officeDocument/2006/relationships/hyperlink" Target="https://karir.pu.go.id/enom" TargetMode="External"/><Relationship Id="rId6" Type="http://schemas.openxmlformats.org/officeDocument/2006/relationships/hyperlink" Target="https://karir.pu.go.id/enom" TargetMode="External"/><Relationship Id="rId5" Type="http://schemas.openxmlformats.org/officeDocument/2006/relationships/hyperlink" Target="https://ehrm.pu.go.id/layanan-kepegawaian" TargetMode="External"/><Relationship Id="rId4" Type="http://schemas.openxmlformats.org/officeDocument/2006/relationships/hyperlink" Target="https://ehrm.pu.go.id/layanan-kepegawaia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ehrm.pu.go.id/layanan-kepegawaian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https://ehrm.pu.go.id/layanan-kepegawaian" TargetMode="External"/><Relationship Id="rId1" Type="http://schemas.openxmlformats.org/officeDocument/2006/relationships/hyperlink" Target="https://karir.pu.go.id/enom" TargetMode="External"/><Relationship Id="rId6" Type="http://schemas.openxmlformats.org/officeDocument/2006/relationships/hyperlink" Target="https://karir.pu.go.id/enom" TargetMode="External"/><Relationship Id="rId5" Type="http://schemas.openxmlformats.org/officeDocument/2006/relationships/hyperlink" Target="https://ehrm.pu.go.id/layanan-kepegawaian" TargetMode="External"/><Relationship Id="rId4" Type="http://schemas.openxmlformats.org/officeDocument/2006/relationships/hyperlink" Target="https://ehrm.pu.go.id/layanan-kepegawaian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364E-99B5-4C48-8B64-1655F251ECD3}">
  <dimension ref="B1:M38"/>
  <sheetViews>
    <sheetView topLeftCell="B1" workbookViewId="0">
      <selection activeCell="D19" sqref="D19"/>
    </sheetView>
  </sheetViews>
  <sheetFormatPr defaultRowHeight="15" x14ac:dyDescent="0.25"/>
  <cols>
    <col min="2" max="2" width="17" style="3" customWidth="1"/>
    <col min="3" max="3" width="20" style="1" customWidth="1"/>
    <col min="4" max="4" width="12.28515625" style="1" customWidth="1"/>
    <col min="5" max="5" width="20.85546875" style="1" customWidth="1"/>
    <col min="6" max="6" width="11.28515625" style="1" customWidth="1"/>
    <col min="7" max="7" width="22.28515625" style="14" customWidth="1"/>
    <col min="8" max="8" width="10.28515625" style="14" customWidth="1"/>
    <col min="9" max="9" width="29.42578125" style="13" customWidth="1"/>
    <col min="10" max="10" width="9.140625" style="1"/>
  </cols>
  <sheetData>
    <row r="1" spans="2:13" ht="15.75" x14ac:dyDescent="0.25">
      <c r="B1" s="101" t="s">
        <v>14</v>
      </c>
      <c r="C1" s="101"/>
      <c r="D1" s="101"/>
      <c r="E1" s="101"/>
      <c r="F1" s="101"/>
      <c r="G1" s="101"/>
      <c r="H1" s="101"/>
      <c r="I1" s="101"/>
      <c r="J1" s="101"/>
    </row>
    <row r="3" spans="2:13" s="13" customFormat="1" ht="27.75" customHeight="1" x14ac:dyDescent="0.25">
      <c r="B3" s="12" t="s">
        <v>0</v>
      </c>
      <c r="C3" s="84" t="s">
        <v>20</v>
      </c>
      <c r="D3" s="84"/>
      <c r="E3" s="5" t="s">
        <v>1</v>
      </c>
      <c r="F3" s="12" t="s">
        <v>2</v>
      </c>
      <c r="G3" s="12" t="s">
        <v>3</v>
      </c>
      <c r="H3" s="12" t="s">
        <v>4</v>
      </c>
      <c r="I3" s="84" t="s">
        <v>20</v>
      </c>
      <c r="J3" s="84"/>
    </row>
    <row r="4" spans="2:13" ht="30" x14ac:dyDescent="0.25">
      <c r="B4" s="19" t="s">
        <v>21</v>
      </c>
      <c r="C4" s="4" t="s">
        <v>25</v>
      </c>
      <c r="D4" s="7" t="s">
        <v>26</v>
      </c>
      <c r="E4" s="6" t="s">
        <v>5</v>
      </c>
      <c r="F4" s="8">
        <v>1</v>
      </c>
      <c r="G4" s="15" t="s">
        <v>6</v>
      </c>
      <c r="H4" s="16">
        <v>1</v>
      </c>
      <c r="I4" s="20" t="s">
        <v>15</v>
      </c>
      <c r="J4" s="6">
        <v>100</v>
      </c>
    </row>
    <row r="5" spans="2:13" x14ac:dyDescent="0.25">
      <c r="B5" s="19"/>
      <c r="C5" s="4" t="s">
        <v>23</v>
      </c>
      <c r="D5" s="7" t="s">
        <v>27</v>
      </c>
      <c r="E5" s="6"/>
      <c r="F5" s="8"/>
      <c r="G5" s="15"/>
      <c r="H5" s="16"/>
      <c r="I5" s="20" t="s">
        <v>16</v>
      </c>
      <c r="J5" s="6">
        <v>80</v>
      </c>
    </row>
    <row r="6" spans="2:13" x14ac:dyDescent="0.25">
      <c r="B6" s="19"/>
      <c r="C6" s="4" t="s">
        <v>24</v>
      </c>
      <c r="D6" s="4" t="s">
        <v>28</v>
      </c>
      <c r="E6" s="6"/>
      <c r="F6" s="8"/>
      <c r="G6" s="15"/>
      <c r="H6" s="16"/>
      <c r="I6" s="20" t="s">
        <v>17</v>
      </c>
      <c r="J6" s="6">
        <v>60</v>
      </c>
    </row>
    <row r="7" spans="2:13" x14ac:dyDescent="0.25">
      <c r="B7" s="19"/>
      <c r="C7" s="6"/>
      <c r="D7" s="6"/>
      <c r="E7" s="6"/>
      <c r="F7" s="8"/>
      <c r="G7" s="15"/>
      <c r="H7" s="16"/>
      <c r="I7" s="20" t="s">
        <v>18</v>
      </c>
      <c r="J7" s="6">
        <v>40</v>
      </c>
    </row>
    <row r="8" spans="2:13" x14ac:dyDescent="0.25">
      <c r="B8" s="19"/>
      <c r="C8" s="6"/>
      <c r="D8" s="6"/>
      <c r="E8" s="6"/>
      <c r="F8" s="8"/>
      <c r="G8" s="15"/>
      <c r="H8" s="16"/>
      <c r="I8" s="20" t="s">
        <v>19</v>
      </c>
      <c r="J8" s="6">
        <v>20</v>
      </c>
    </row>
    <row r="9" spans="2:13" x14ac:dyDescent="0.25">
      <c r="B9" s="19"/>
      <c r="C9" s="6"/>
      <c r="D9" s="6"/>
      <c r="E9" s="6"/>
      <c r="F9" s="8"/>
      <c r="G9" s="15"/>
      <c r="H9" s="16"/>
      <c r="I9" s="20"/>
      <c r="J9" s="6"/>
    </row>
    <row r="10" spans="2:13" ht="30" customHeight="1" x14ac:dyDescent="0.25">
      <c r="B10" s="19" t="s">
        <v>22</v>
      </c>
      <c r="C10" s="4" t="s">
        <v>29</v>
      </c>
      <c r="D10" s="7" t="s">
        <v>26</v>
      </c>
      <c r="E10" s="6" t="s">
        <v>7</v>
      </c>
      <c r="F10" s="8">
        <v>0.65</v>
      </c>
      <c r="G10" s="15" t="s">
        <v>8</v>
      </c>
      <c r="H10" s="16">
        <v>0.65</v>
      </c>
      <c r="I10" s="20" t="s">
        <v>32</v>
      </c>
      <c r="J10" s="7" t="s">
        <v>37</v>
      </c>
      <c r="K10" s="102" t="s">
        <v>39</v>
      </c>
      <c r="L10" s="103"/>
      <c r="M10" s="2"/>
    </row>
    <row r="11" spans="2:13" x14ac:dyDescent="0.25">
      <c r="B11" s="19"/>
      <c r="C11" s="4" t="s">
        <v>30</v>
      </c>
      <c r="D11" s="7" t="s">
        <v>27</v>
      </c>
      <c r="E11" s="6"/>
      <c r="F11" s="8"/>
      <c r="G11" s="15"/>
      <c r="H11" s="16"/>
      <c r="I11" s="20" t="s">
        <v>33</v>
      </c>
      <c r="J11" s="7" t="s">
        <v>36</v>
      </c>
      <c r="K11" s="102"/>
      <c r="L11" s="103"/>
      <c r="M11" s="2"/>
    </row>
    <row r="12" spans="2:13" x14ac:dyDescent="0.25">
      <c r="B12" s="19"/>
      <c r="C12" s="4" t="s">
        <v>31</v>
      </c>
      <c r="D12" s="4" t="s">
        <v>28</v>
      </c>
      <c r="E12" s="6"/>
      <c r="F12" s="8"/>
      <c r="G12" s="15"/>
      <c r="H12" s="16"/>
      <c r="I12" s="20" t="s">
        <v>34</v>
      </c>
      <c r="J12" s="4" t="s">
        <v>38</v>
      </c>
      <c r="K12" s="102"/>
      <c r="L12" s="103"/>
      <c r="M12" s="2"/>
    </row>
    <row r="13" spans="2:13" ht="30" x14ac:dyDescent="0.25">
      <c r="B13" s="19"/>
      <c r="C13" s="6"/>
      <c r="D13" s="6"/>
      <c r="E13" s="6" t="s">
        <v>9</v>
      </c>
      <c r="F13" s="8">
        <v>0.2</v>
      </c>
      <c r="G13" s="15" t="s">
        <v>10</v>
      </c>
      <c r="H13" s="16">
        <v>0.05</v>
      </c>
      <c r="I13" s="20" t="s">
        <v>40</v>
      </c>
      <c r="J13" s="6">
        <v>100</v>
      </c>
      <c r="M13" t="s">
        <v>67</v>
      </c>
    </row>
    <row r="14" spans="2:13" x14ac:dyDescent="0.25">
      <c r="B14" s="19"/>
      <c r="C14" s="6"/>
      <c r="D14" s="6"/>
      <c r="E14" s="6"/>
      <c r="F14" s="8"/>
      <c r="G14" s="15"/>
      <c r="H14" s="16"/>
      <c r="I14" s="20" t="s">
        <v>41</v>
      </c>
      <c r="J14" s="6">
        <v>90</v>
      </c>
    </row>
    <row r="15" spans="2:13" x14ac:dyDescent="0.25">
      <c r="B15" s="19"/>
      <c r="C15" s="6"/>
      <c r="D15" s="6"/>
      <c r="E15" s="6"/>
      <c r="F15" s="8"/>
      <c r="G15" s="15"/>
      <c r="H15" s="16"/>
      <c r="I15" s="20" t="s">
        <v>42</v>
      </c>
      <c r="J15" s="6">
        <v>80</v>
      </c>
    </row>
    <row r="16" spans="2:13" x14ac:dyDescent="0.25">
      <c r="B16" s="19"/>
      <c r="C16" s="6"/>
      <c r="D16" s="6"/>
      <c r="E16" s="6"/>
      <c r="F16" s="8"/>
      <c r="G16" s="15"/>
      <c r="H16" s="16"/>
      <c r="I16" s="20" t="s">
        <v>43</v>
      </c>
      <c r="J16" s="6">
        <v>70</v>
      </c>
    </row>
    <row r="17" spans="2:10" x14ac:dyDescent="0.25">
      <c r="B17" s="19"/>
      <c r="C17" s="6"/>
      <c r="D17" s="6"/>
      <c r="E17" s="6"/>
      <c r="F17" s="8"/>
      <c r="G17" s="15"/>
      <c r="H17" s="16"/>
      <c r="I17" s="20" t="s">
        <v>44</v>
      </c>
      <c r="J17" s="6">
        <v>60</v>
      </c>
    </row>
    <row r="18" spans="2:10" ht="45" x14ac:dyDescent="0.25">
      <c r="B18" s="19"/>
      <c r="C18" s="6"/>
      <c r="D18" s="6"/>
      <c r="E18" s="6"/>
      <c r="F18" s="4"/>
      <c r="G18" s="15" t="s">
        <v>11</v>
      </c>
      <c r="H18" s="16">
        <v>0.05</v>
      </c>
      <c r="I18" s="21" t="s">
        <v>45</v>
      </c>
      <c r="J18" s="9">
        <v>100</v>
      </c>
    </row>
    <row r="19" spans="2:10" ht="60" x14ac:dyDescent="0.25">
      <c r="B19" s="19"/>
      <c r="C19" s="6"/>
      <c r="D19" s="6"/>
      <c r="E19" s="6"/>
      <c r="F19" s="4"/>
      <c r="G19" s="15"/>
      <c r="H19" s="16"/>
      <c r="I19" s="21" t="s">
        <v>52</v>
      </c>
      <c r="J19" s="9">
        <v>50</v>
      </c>
    </row>
    <row r="20" spans="2:10" ht="64.5" customHeight="1" x14ac:dyDescent="0.25">
      <c r="B20" s="19"/>
      <c r="C20" s="6"/>
      <c r="D20" s="6"/>
      <c r="E20" s="6"/>
      <c r="F20" s="4"/>
      <c r="G20" s="15" t="s">
        <v>51</v>
      </c>
      <c r="H20" s="16">
        <v>0.05</v>
      </c>
      <c r="I20" s="21" t="s">
        <v>53</v>
      </c>
      <c r="J20" s="9">
        <v>100</v>
      </c>
    </row>
    <row r="21" spans="2:10" ht="63" customHeight="1" x14ac:dyDescent="0.25">
      <c r="B21" s="19"/>
      <c r="C21" s="6"/>
      <c r="D21" s="6"/>
      <c r="E21" s="6"/>
      <c r="F21" s="4"/>
      <c r="G21" s="15"/>
      <c r="H21" s="16"/>
      <c r="I21" s="21" t="s">
        <v>54</v>
      </c>
      <c r="J21" s="9">
        <v>50</v>
      </c>
    </row>
    <row r="22" spans="2:10" ht="18" customHeight="1" x14ac:dyDescent="0.25">
      <c r="B22" s="19"/>
      <c r="C22" s="6"/>
      <c r="D22" s="6"/>
      <c r="E22" s="6"/>
      <c r="F22" s="4"/>
      <c r="G22" s="15" t="s">
        <v>63</v>
      </c>
      <c r="H22" s="16">
        <v>0.05</v>
      </c>
      <c r="I22" s="100" t="s">
        <v>55</v>
      </c>
      <c r="J22" s="100"/>
    </row>
    <row r="23" spans="2:10" ht="63" customHeight="1" x14ac:dyDescent="0.25">
      <c r="B23" s="19"/>
      <c r="C23" s="6"/>
      <c r="D23" s="6"/>
      <c r="E23" s="6"/>
      <c r="F23" s="4"/>
      <c r="G23" s="15"/>
      <c r="H23" s="15"/>
      <c r="I23" s="11" t="s">
        <v>56</v>
      </c>
      <c r="J23" s="9">
        <v>100</v>
      </c>
    </row>
    <row r="24" spans="2:10" ht="63" customHeight="1" x14ac:dyDescent="0.25">
      <c r="B24" s="19"/>
      <c r="C24" s="6"/>
      <c r="D24" s="6"/>
      <c r="E24" s="6"/>
      <c r="F24" s="4"/>
      <c r="G24" s="15"/>
      <c r="H24" s="16"/>
      <c r="I24" s="11" t="s">
        <v>57</v>
      </c>
      <c r="J24" s="9">
        <v>80</v>
      </c>
    </row>
    <row r="25" spans="2:10" ht="63" customHeight="1" x14ac:dyDescent="0.25">
      <c r="B25" s="19"/>
      <c r="C25" s="6"/>
      <c r="D25" s="6"/>
      <c r="E25" s="6"/>
      <c r="F25" s="4"/>
      <c r="G25" s="15"/>
      <c r="H25" s="16"/>
      <c r="I25" s="11" t="s">
        <v>58</v>
      </c>
      <c r="J25" s="9">
        <v>60</v>
      </c>
    </row>
    <row r="26" spans="2:10" ht="15.75" customHeight="1" x14ac:dyDescent="0.25">
      <c r="B26" s="19"/>
      <c r="C26" s="6"/>
      <c r="D26" s="6"/>
      <c r="E26" s="6"/>
      <c r="F26" s="4"/>
      <c r="G26" s="15"/>
      <c r="H26" s="16"/>
      <c r="I26" s="100" t="s">
        <v>59</v>
      </c>
      <c r="J26" s="100"/>
    </row>
    <row r="27" spans="2:10" ht="44.25" customHeight="1" x14ac:dyDescent="0.25">
      <c r="B27" s="19"/>
      <c r="C27" s="6"/>
      <c r="D27" s="6"/>
      <c r="E27" s="6"/>
      <c r="F27" s="4"/>
      <c r="G27" s="15"/>
      <c r="H27" s="16"/>
      <c r="I27" s="22" t="s">
        <v>61</v>
      </c>
      <c r="J27" s="9">
        <v>100</v>
      </c>
    </row>
    <row r="28" spans="2:10" ht="35.25" customHeight="1" x14ac:dyDescent="0.25">
      <c r="B28" s="19"/>
      <c r="C28" s="6"/>
      <c r="D28" s="6"/>
      <c r="E28" s="6"/>
      <c r="F28" s="4"/>
      <c r="G28" s="15"/>
      <c r="H28" s="16"/>
      <c r="I28" s="22" t="s">
        <v>60</v>
      </c>
      <c r="J28" s="9">
        <v>80</v>
      </c>
    </row>
    <row r="29" spans="2:10" ht="30.75" customHeight="1" x14ac:dyDescent="0.25">
      <c r="B29" s="19"/>
      <c r="C29" s="6"/>
      <c r="D29" s="6"/>
      <c r="E29" s="6"/>
      <c r="F29" s="4"/>
      <c r="G29" s="15"/>
      <c r="H29" s="16"/>
      <c r="I29" s="22" t="s">
        <v>62</v>
      </c>
      <c r="J29" s="9">
        <v>60</v>
      </c>
    </row>
    <row r="30" spans="2:10" ht="30.75" customHeight="1" x14ac:dyDescent="0.25">
      <c r="B30" s="19"/>
      <c r="C30" s="6"/>
      <c r="D30" s="6"/>
      <c r="E30" s="6"/>
      <c r="F30" s="4"/>
      <c r="G30" s="15"/>
      <c r="H30" s="16"/>
      <c r="I30" s="100" t="s">
        <v>64</v>
      </c>
      <c r="J30" s="100"/>
    </row>
    <row r="31" spans="2:10" ht="30.75" customHeight="1" x14ac:dyDescent="0.25">
      <c r="B31" s="19"/>
      <c r="C31" s="6"/>
      <c r="D31" s="6"/>
      <c r="E31" s="6"/>
      <c r="F31" s="4"/>
      <c r="G31" s="15"/>
      <c r="H31" s="16"/>
      <c r="I31" s="21" t="s">
        <v>65</v>
      </c>
      <c r="J31" s="9">
        <v>100</v>
      </c>
    </row>
    <row r="32" spans="2:10" ht="30.75" customHeight="1" x14ac:dyDescent="0.25">
      <c r="B32" s="19"/>
      <c r="C32" s="6"/>
      <c r="D32" s="6"/>
      <c r="E32" s="6"/>
      <c r="F32" s="4"/>
      <c r="G32" s="15"/>
      <c r="H32" s="16"/>
      <c r="I32" s="21" t="s">
        <v>66</v>
      </c>
      <c r="J32" s="9">
        <v>50</v>
      </c>
    </row>
    <row r="33" spans="2:10" ht="30" x14ac:dyDescent="0.25">
      <c r="B33" s="19"/>
      <c r="C33" s="6"/>
      <c r="D33" s="6"/>
      <c r="E33" s="6" t="s">
        <v>12</v>
      </c>
      <c r="F33" s="8">
        <v>0.15</v>
      </c>
      <c r="G33" s="15" t="s">
        <v>13</v>
      </c>
      <c r="H33" s="16">
        <v>0.15</v>
      </c>
      <c r="I33" s="21" t="s">
        <v>46</v>
      </c>
      <c r="J33" s="6">
        <v>100</v>
      </c>
    </row>
    <row r="34" spans="2:10" x14ac:dyDescent="0.25">
      <c r="B34" s="19"/>
      <c r="C34" s="6"/>
      <c r="D34" s="6"/>
      <c r="E34" s="6"/>
      <c r="F34" s="6"/>
      <c r="G34" s="15"/>
      <c r="H34" s="17"/>
      <c r="I34" s="21" t="s">
        <v>47</v>
      </c>
      <c r="J34" s="6">
        <v>75</v>
      </c>
    </row>
    <row r="35" spans="2:10" x14ac:dyDescent="0.25">
      <c r="B35" s="19"/>
      <c r="C35" s="6"/>
      <c r="D35" s="6" t="s">
        <v>35</v>
      </c>
      <c r="E35" s="6"/>
      <c r="F35" s="6"/>
      <c r="G35" s="15"/>
      <c r="H35" s="15"/>
      <c r="I35" s="21" t="s">
        <v>48</v>
      </c>
      <c r="J35" s="6">
        <v>50</v>
      </c>
    </row>
    <row r="36" spans="2:10" x14ac:dyDescent="0.25">
      <c r="B36" s="19"/>
      <c r="C36" s="6"/>
      <c r="D36" s="6"/>
      <c r="E36" s="6"/>
      <c r="F36" s="6"/>
      <c r="G36" s="15"/>
      <c r="H36" s="15"/>
      <c r="I36" s="21" t="s">
        <v>49</v>
      </c>
      <c r="J36" s="6">
        <v>25</v>
      </c>
    </row>
    <row r="37" spans="2:10" x14ac:dyDescent="0.25">
      <c r="B37" s="19"/>
      <c r="C37" s="6"/>
      <c r="D37" s="6"/>
      <c r="E37" s="6"/>
      <c r="F37" s="6"/>
      <c r="G37" s="15"/>
      <c r="H37" s="15"/>
      <c r="I37" s="21" t="s">
        <v>50</v>
      </c>
      <c r="J37" s="6">
        <v>0</v>
      </c>
    </row>
    <row r="38" spans="2:10" x14ac:dyDescent="0.25">
      <c r="H38" s="18"/>
    </row>
  </sheetData>
  <mergeCells count="7">
    <mergeCell ref="I26:J26"/>
    <mergeCell ref="I30:J30"/>
    <mergeCell ref="B1:J1"/>
    <mergeCell ref="K10:L12"/>
    <mergeCell ref="I3:J3"/>
    <mergeCell ref="C3:D3"/>
    <mergeCell ref="I22:J22"/>
  </mergeCells>
  <pageMargins left="0.11811023622047245" right="0.11811023622047245" top="0.35433070866141736" bottom="0.15748031496062992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6782-DD60-4B6E-A1AC-3530AE7303C4}">
  <dimension ref="B1:P42"/>
  <sheetViews>
    <sheetView topLeftCell="E1" zoomScaleNormal="100" workbookViewId="0">
      <selection activeCell="G14" sqref="G14"/>
    </sheetView>
  </sheetViews>
  <sheetFormatPr defaultRowHeight="15" x14ac:dyDescent="0.25"/>
  <cols>
    <col min="1" max="1" width="1.7109375" customWidth="1"/>
    <col min="2" max="2" width="17" style="3" customWidth="1"/>
    <col min="3" max="3" width="20" style="1" customWidth="1"/>
    <col min="4" max="4" width="12.28515625" style="1" customWidth="1"/>
    <col min="5" max="5" width="20.85546875" style="1" customWidth="1"/>
    <col min="6" max="6" width="11.28515625" style="1" customWidth="1"/>
    <col min="7" max="7" width="22.28515625" style="14" customWidth="1"/>
    <col min="8" max="8" width="10.28515625" style="14" customWidth="1"/>
    <col min="9" max="9" width="29.42578125" style="13" customWidth="1"/>
    <col min="10" max="10" width="8.85546875" style="1"/>
    <col min="11" max="11" width="18.85546875" style="23" customWidth="1"/>
    <col min="12" max="12" width="21.7109375" style="23" customWidth="1"/>
  </cols>
  <sheetData>
    <row r="1" spans="2:13" ht="21" x14ac:dyDescent="0.35">
      <c r="B1" s="82" t="s">
        <v>14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3" ht="15.75" x14ac:dyDescent="0.25">
      <c r="B2" s="83" t="s">
        <v>84</v>
      </c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2:13" s="13" customFormat="1" ht="27.75" customHeight="1" x14ac:dyDescent="0.25">
      <c r="B3" s="12" t="s">
        <v>0</v>
      </c>
      <c r="C3" s="84" t="s">
        <v>20</v>
      </c>
      <c r="D3" s="84"/>
      <c r="E3" s="5" t="s">
        <v>1</v>
      </c>
      <c r="F3" s="12" t="s">
        <v>2</v>
      </c>
      <c r="G3" s="12" t="s">
        <v>3</v>
      </c>
      <c r="H3" s="12" t="s">
        <v>4</v>
      </c>
      <c r="I3" s="84" t="s">
        <v>20</v>
      </c>
      <c r="J3" s="84"/>
      <c r="K3" s="24" t="s">
        <v>68</v>
      </c>
      <c r="L3" s="24" t="s">
        <v>69</v>
      </c>
    </row>
    <row r="4" spans="2:13" ht="57" x14ac:dyDescent="0.25">
      <c r="B4" s="19" t="s">
        <v>21</v>
      </c>
      <c r="C4" s="4" t="s">
        <v>25</v>
      </c>
      <c r="D4" s="7" t="s">
        <v>26</v>
      </c>
      <c r="E4" s="6" t="s">
        <v>5</v>
      </c>
      <c r="F4" s="8">
        <v>1</v>
      </c>
      <c r="G4" s="15" t="s">
        <v>6</v>
      </c>
      <c r="H4" s="16">
        <v>1</v>
      </c>
      <c r="I4" s="20" t="s">
        <v>15</v>
      </c>
      <c r="J4" s="6">
        <v>100</v>
      </c>
      <c r="K4" s="26" t="s">
        <v>72</v>
      </c>
      <c r="L4" s="32" t="s">
        <v>71</v>
      </c>
    </row>
    <row r="5" spans="2:13" x14ac:dyDescent="0.25">
      <c r="B5" s="19"/>
      <c r="C5" s="4" t="s">
        <v>23</v>
      </c>
      <c r="D5" s="7" t="s">
        <v>27</v>
      </c>
      <c r="E5" s="6"/>
      <c r="F5" s="8"/>
      <c r="G5" s="15"/>
      <c r="H5" s="16"/>
      <c r="I5" s="20" t="s">
        <v>16</v>
      </c>
      <c r="J5" s="6">
        <v>80</v>
      </c>
      <c r="K5" s="28"/>
      <c r="L5" s="31"/>
    </row>
    <row r="6" spans="2:13" x14ac:dyDescent="0.25">
      <c r="B6" s="19"/>
      <c r="C6" s="4" t="s">
        <v>24</v>
      </c>
      <c r="D6" s="4" t="s">
        <v>28</v>
      </c>
      <c r="E6" s="6"/>
      <c r="F6" s="8"/>
      <c r="G6" s="15"/>
      <c r="H6" s="16"/>
      <c r="I6" s="20" t="s">
        <v>17</v>
      </c>
      <c r="J6" s="6">
        <v>60</v>
      </c>
      <c r="K6" s="28"/>
      <c r="L6" s="31"/>
    </row>
    <row r="7" spans="2:13" x14ac:dyDescent="0.25">
      <c r="B7" s="19"/>
      <c r="C7" s="6"/>
      <c r="D7" s="6"/>
      <c r="E7" s="6"/>
      <c r="F7" s="8"/>
      <c r="G7" s="15"/>
      <c r="H7" s="16"/>
      <c r="I7" s="20" t="s">
        <v>18</v>
      </c>
      <c r="J7" s="6">
        <v>40</v>
      </c>
      <c r="K7" s="28"/>
      <c r="L7" s="31"/>
    </row>
    <row r="8" spans="2:13" x14ac:dyDescent="0.25">
      <c r="B8" s="19"/>
      <c r="C8" s="6"/>
      <c r="D8" s="6"/>
      <c r="E8" s="6"/>
      <c r="F8" s="8"/>
      <c r="G8" s="15"/>
      <c r="H8" s="16"/>
      <c r="I8" s="20" t="s">
        <v>19</v>
      </c>
      <c r="J8" s="6">
        <v>20</v>
      </c>
      <c r="K8" s="28"/>
      <c r="L8" s="31"/>
    </row>
    <row r="9" spans="2:13" x14ac:dyDescent="0.25">
      <c r="B9" s="19"/>
      <c r="C9" s="6"/>
      <c r="D9" s="6"/>
      <c r="E9" s="6"/>
      <c r="F9" s="8"/>
      <c r="G9" s="15"/>
      <c r="H9" s="16"/>
      <c r="I9" s="20"/>
      <c r="J9" s="6"/>
      <c r="K9" s="28"/>
      <c r="L9" s="31"/>
    </row>
    <row r="10" spans="2:13" ht="30" customHeight="1" x14ac:dyDescent="0.25">
      <c r="B10" s="19" t="s">
        <v>22</v>
      </c>
      <c r="C10" s="4" t="s">
        <v>29</v>
      </c>
      <c r="D10" s="7" t="s">
        <v>26</v>
      </c>
      <c r="E10" s="6" t="s">
        <v>7</v>
      </c>
      <c r="F10" s="8">
        <v>0.65</v>
      </c>
      <c r="G10" s="15" t="s">
        <v>8</v>
      </c>
      <c r="H10" s="16">
        <v>0.65</v>
      </c>
      <c r="I10" s="20" t="s">
        <v>32</v>
      </c>
      <c r="J10" s="7" t="s">
        <v>37</v>
      </c>
      <c r="K10" s="29" t="s">
        <v>70</v>
      </c>
      <c r="L10" s="32" t="s">
        <v>71</v>
      </c>
      <c r="M10" s="2"/>
    </row>
    <row r="11" spans="2:13" x14ac:dyDescent="0.25">
      <c r="B11" s="19"/>
      <c r="C11" s="4" t="s">
        <v>30</v>
      </c>
      <c r="D11" s="7" t="s">
        <v>27</v>
      </c>
      <c r="E11" s="6"/>
      <c r="F11" s="8"/>
      <c r="G11" s="15"/>
      <c r="H11" s="16"/>
      <c r="I11" s="20" t="s">
        <v>33</v>
      </c>
      <c r="J11" s="7" t="s">
        <v>36</v>
      </c>
      <c r="K11" s="29"/>
      <c r="L11" s="33"/>
      <c r="M11" s="2"/>
    </row>
    <row r="12" spans="2:13" x14ac:dyDescent="0.25">
      <c r="B12" s="19"/>
      <c r="C12" s="4" t="s">
        <v>31</v>
      </c>
      <c r="D12" s="4" t="s">
        <v>28</v>
      </c>
      <c r="E12" s="6"/>
      <c r="F12" s="8"/>
      <c r="G12" s="15"/>
      <c r="H12" s="16"/>
      <c r="I12" s="20" t="s">
        <v>34</v>
      </c>
      <c r="J12" s="4" t="s">
        <v>38</v>
      </c>
      <c r="K12" s="29"/>
      <c r="L12" s="33"/>
      <c r="M12" s="2"/>
    </row>
    <row r="13" spans="2:13" ht="30" x14ac:dyDescent="0.25">
      <c r="B13" s="19"/>
      <c r="C13" s="6"/>
      <c r="D13" s="6"/>
      <c r="E13" s="6" t="s">
        <v>9</v>
      </c>
      <c r="F13" s="8">
        <v>0.2</v>
      </c>
      <c r="G13" s="15" t="s">
        <v>10</v>
      </c>
      <c r="H13" s="16">
        <v>0.05</v>
      </c>
      <c r="I13" s="20" t="s">
        <v>40</v>
      </c>
      <c r="J13" s="6">
        <v>100</v>
      </c>
      <c r="K13" s="28" t="s">
        <v>73</v>
      </c>
      <c r="L13" s="34" t="s">
        <v>74</v>
      </c>
      <c r="M13" t="s">
        <v>67</v>
      </c>
    </row>
    <row r="14" spans="2:13" x14ac:dyDescent="0.25">
      <c r="B14" s="19"/>
      <c r="C14" s="6"/>
      <c r="D14" s="6"/>
      <c r="E14" s="6"/>
      <c r="F14" s="8"/>
      <c r="G14" s="15"/>
      <c r="H14" s="16"/>
      <c r="I14" s="20" t="s">
        <v>41</v>
      </c>
      <c r="J14" s="6">
        <v>90</v>
      </c>
      <c r="K14" s="28"/>
      <c r="L14" s="31"/>
    </row>
    <row r="15" spans="2:13" x14ac:dyDescent="0.25">
      <c r="B15" s="19"/>
      <c r="C15" s="6"/>
      <c r="D15" s="6"/>
      <c r="E15" s="6"/>
      <c r="F15" s="8"/>
      <c r="G15" s="15"/>
      <c r="H15" s="16"/>
      <c r="I15" s="20" t="s">
        <v>42</v>
      </c>
      <c r="J15" s="6">
        <v>80</v>
      </c>
      <c r="K15" s="28"/>
      <c r="L15" s="31"/>
    </row>
    <row r="16" spans="2:13" x14ac:dyDescent="0.25">
      <c r="B16" s="19"/>
      <c r="C16" s="6"/>
      <c r="D16" s="6"/>
      <c r="E16" s="6"/>
      <c r="F16" s="8"/>
      <c r="G16" s="15"/>
      <c r="H16" s="16"/>
      <c r="I16" s="20" t="s">
        <v>43</v>
      </c>
      <c r="J16" s="6">
        <v>70</v>
      </c>
      <c r="K16" s="28"/>
      <c r="L16" s="31"/>
      <c r="M16" t="s">
        <v>85</v>
      </c>
    </row>
    <row r="17" spans="2:16" x14ac:dyDescent="0.25">
      <c r="B17" s="19"/>
      <c r="C17" s="6"/>
      <c r="D17" s="6"/>
      <c r="E17" s="6"/>
      <c r="F17" s="8"/>
      <c r="G17" s="15"/>
      <c r="H17" s="16"/>
      <c r="I17" s="20" t="s">
        <v>44</v>
      </c>
      <c r="J17" s="6">
        <v>60</v>
      </c>
      <c r="K17" s="28"/>
      <c r="L17" s="31"/>
    </row>
    <row r="18" spans="2:16" ht="45" x14ac:dyDescent="0.25">
      <c r="B18" s="19"/>
      <c r="C18" s="6"/>
      <c r="D18" s="6"/>
      <c r="E18" s="6"/>
      <c r="F18" s="4"/>
      <c r="G18" s="15" t="s">
        <v>11</v>
      </c>
      <c r="H18" s="16">
        <v>0.05</v>
      </c>
      <c r="I18" s="21" t="s">
        <v>45</v>
      </c>
      <c r="J18" s="9">
        <v>100</v>
      </c>
      <c r="K18" s="30" t="s">
        <v>75</v>
      </c>
      <c r="L18" s="34" t="s">
        <v>74</v>
      </c>
      <c r="P18" s="13" t="s">
        <v>76</v>
      </c>
    </row>
    <row r="19" spans="2:16" ht="60" x14ac:dyDescent="0.25">
      <c r="B19" s="19"/>
      <c r="C19" s="6"/>
      <c r="D19" s="6"/>
      <c r="E19" s="6"/>
      <c r="F19" s="4"/>
      <c r="G19" s="15"/>
      <c r="H19" s="16"/>
      <c r="I19" s="21" t="s">
        <v>52</v>
      </c>
      <c r="J19" s="9">
        <v>50</v>
      </c>
      <c r="K19" s="28"/>
      <c r="L19" s="31"/>
      <c r="M19" t="s">
        <v>85</v>
      </c>
    </row>
    <row r="20" spans="2:16" ht="64.5" customHeight="1" x14ac:dyDescent="0.25">
      <c r="B20" s="19"/>
      <c r="C20" s="6"/>
      <c r="D20" s="6"/>
      <c r="E20" s="6"/>
      <c r="F20" s="4"/>
      <c r="G20" s="15" t="s">
        <v>51</v>
      </c>
      <c r="H20" s="16">
        <v>0.05</v>
      </c>
      <c r="I20" s="21" t="s">
        <v>53</v>
      </c>
      <c r="J20" s="9">
        <v>100</v>
      </c>
      <c r="K20" s="35" t="s">
        <v>78</v>
      </c>
      <c r="L20" s="34" t="s">
        <v>74</v>
      </c>
    </row>
    <row r="21" spans="2:16" ht="63" customHeight="1" x14ac:dyDescent="0.25">
      <c r="B21" s="19"/>
      <c r="C21" s="6"/>
      <c r="D21" s="6"/>
      <c r="E21" s="6"/>
      <c r="F21" s="4"/>
      <c r="G21" s="15"/>
      <c r="H21" s="16"/>
      <c r="I21" s="21" t="s">
        <v>54</v>
      </c>
      <c r="J21" s="9">
        <v>50</v>
      </c>
      <c r="K21" s="25"/>
      <c r="L21" s="25"/>
      <c r="M21" s="13" t="s">
        <v>77</v>
      </c>
    </row>
    <row r="22" spans="2:16" ht="24.6" customHeight="1" x14ac:dyDescent="0.25">
      <c r="B22" s="19"/>
      <c r="C22" s="6"/>
      <c r="D22" s="6"/>
      <c r="E22" s="6"/>
      <c r="F22" s="4"/>
      <c r="G22" s="15" t="s">
        <v>63</v>
      </c>
      <c r="H22" s="16">
        <v>0.05</v>
      </c>
      <c r="I22" s="100" t="s">
        <v>55</v>
      </c>
      <c r="J22" s="100"/>
      <c r="K22" s="25"/>
      <c r="L22" s="34" t="s">
        <v>74</v>
      </c>
    </row>
    <row r="23" spans="2:16" ht="63" customHeight="1" x14ac:dyDescent="0.25">
      <c r="B23" s="19"/>
      <c r="C23" s="6"/>
      <c r="D23" s="6"/>
      <c r="E23" s="6"/>
      <c r="F23" s="4"/>
      <c r="G23" s="15"/>
      <c r="H23" s="15"/>
      <c r="I23" s="11" t="s">
        <v>56</v>
      </c>
      <c r="J23" s="9">
        <v>100</v>
      </c>
      <c r="K23" s="25"/>
      <c r="L23" s="104" t="s">
        <v>87</v>
      </c>
    </row>
    <row r="24" spans="2:16" ht="72" customHeight="1" x14ac:dyDescent="0.25">
      <c r="B24" s="19"/>
      <c r="C24" s="6"/>
      <c r="D24" s="6"/>
      <c r="E24" s="6"/>
      <c r="F24" s="4"/>
      <c r="G24" s="15"/>
      <c r="H24" s="16"/>
      <c r="I24" s="11" t="s">
        <v>57</v>
      </c>
      <c r="J24" s="9">
        <v>80</v>
      </c>
      <c r="K24" s="25"/>
      <c r="L24" s="105"/>
    </row>
    <row r="25" spans="2:16" ht="67.150000000000006" customHeight="1" x14ac:dyDescent="0.25">
      <c r="B25" s="19"/>
      <c r="C25" s="6"/>
      <c r="D25" s="6"/>
      <c r="E25" s="6"/>
      <c r="F25" s="4"/>
      <c r="G25" s="15"/>
      <c r="H25" s="16"/>
      <c r="I25" s="11" t="s">
        <v>58</v>
      </c>
      <c r="J25" s="9">
        <v>60</v>
      </c>
      <c r="K25" s="25"/>
      <c r="L25" s="106"/>
    </row>
    <row r="26" spans="2:16" ht="25.15" customHeight="1" x14ac:dyDescent="0.25">
      <c r="B26" s="19"/>
      <c r="C26" s="6"/>
      <c r="D26" s="6"/>
      <c r="E26" s="6"/>
      <c r="F26" s="4"/>
      <c r="G26" s="15"/>
      <c r="H26" s="16"/>
      <c r="I26" s="100" t="s">
        <v>59</v>
      </c>
      <c r="J26" s="100"/>
      <c r="K26" s="25"/>
      <c r="L26" s="25"/>
      <c r="M26" t="s">
        <v>81</v>
      </c>
    </row>
    <row r="27" spans="2:16" ht="44.25" customHeight="1" x14ac:dyDescent="0.25">
      <c r="B27" s="19"/>
      <c r="C27" s="6"/>
      <c r="D27" s="6"/>
      <c r="E27" s="6"/>
      <c r="F27" s="4"/>
      <c r="G27" s="15"/>
      <c r="H27" s="16"/>
      <c r="I27" s="22" t="s">
        <v>82</v>
      </c>
      <c r="J27" s="9">
        <v>100</v>
      </c>
      <c r="K27" s="25"/>
      <c r="L27" s="104" t="s">
        <v>86</v>
      </c>
    </row>
    <row r="28" spans="2:16" ht="45" x14ac:dyDescent="0.25">
      <c r="B28" s="19"/>
      <c r="C28" s="6"/>
      <c r="D28" s="6"/>
      <c r="E28" s="6"/>
      <c r="F28" s="4"/>
      <c r="G28" s="15"/>
      <c r="H28" s="16"/>
      <c r="I28" s="22" t="s">
        <v>83</v>
      </c>
      <c r="J28" s="9">
        <v>80</v>
      </c>
      <c r="K28" s="25"/>
      <c r="L28" s="105"/>
    </row>
    <row r="29" spans="2:16" ht="30.75" customHeight="1" x14ac:dyDescent="0.25">
      <c r="B29" s="19"/>
      <c r="C29" s="6"/>
      <c r="D29" s="6"/>
      <c r="E29" s="6"/>
      <c r="F29" s="4"/>
      <c r="G29" s="15"/>
      <c r="H29" s="16"/>
      <c r="I29" s="22" t="s">
        <v>62</v>
      </c>
      <c r="J29" s="9">
        <v>60</v>
      </c>
      <c r="K29" s="25"/>
      <c r="L29" s="106"/>
    </row>
    <row r="30" spans="2:16" ht="30.75" customHeight="1" x14ac:dyDescent="0.25">
      <c r="B30" s="19"/>
      <c r="C30" s="6"/>
      <c r="D30" s="6"/>
      <c r="E30" s="6"/>
      <c r="F30" s="4"/>
      <c r="G30" s="15"/>
      <c r="H30" s="16"/>
      <c r="I30" s="100" t="s">
        <v>64</v>
      </c>
      <c r="J30" s="100"/>
      <c r="K30" s="25"/>
      <c r="L30" s="25"/>
    </row>
    <row r="31" spans="2:16" ht="43.9" customHeight="1" x14ac:dyDescent="0.25">
      <c r="B31" s="19"/>
      <c r="C31" s="6"/>
      <c r="D31" s="6"/>
      <c r="E31" s="6"/>
      <c r="F31" s="4"/>
      <c r="G31" s="15"/>
      <c r="H31" s="16"/>
      <c r="I31" s="11" t="s">
        <v>88</v>
      </c>
      <c r="J31" s="9">
        <v>100</v>
      </c>
      <c r="K31" s="25"/>
      <c r="L31" s="25"/>
    </row>
    <row r="32" spans="2:16" ht="45" customHeight="1" x14ac:dyDescent="0.25">
      <c r="B32" s="19"/>
      <c r="C32" s="6"/>
      <c r="D32" s="6"/>
      <c r="E32" s="6"/>
      <c r="F32" s="4"/>
      <c r="G32" s="15"/>
      <c r="H32" s="16"/>
      <c r="I32" s="11" t="s">
        <v>89</v>
      </c>
      <c r="J32" s="9">
        <v>80</v>
      </c>
      <c r="K32" s="25"/>
      <c r="L32" s="25"/>
    </row>
    <row r="33" spans="2:13" ht="45.6" customHeight="1" x14ac:dyDescent="0.25">
      <c r="B33" s="19"/>
      <c r="C33" s="6"/>
      <c r="D33" s="6"/>
      <c r="E33" s="6"/>
      <c r="F33" s="4"/>
      <c r="G33" s="15"/>
      <c r="H33" s="16"/>
      <c r="I33" s="11" t="s">
        <v>90</v>
      </c>
      <c r="J33" s="9">
        <v>60</v>
      </c>
      <c r="K33" s="25"/>
      <c r="L33" s="25"/>
      <c r="M33" t="s">
        <v>80</v>
      </c>
    </row>
    <row r="34" spans="2:13" ht="60" x14ac:dyDescent="0.25">
      <c r="B34" s="19"/>
      <c r="C34" s="6"/>
      <c r="D34" s="6"/>
      <c r="E34" s="6"/>
      <c r="F34" s="4"/>
      <c r="G34" s="15"/>
      <c r="H34" s="16"/>
      <c r="I34" s="11" t="s">
        <v>91</v>
      </c>
      <c r="J34" s="9">
        <v>40</v>
      </c>
      <c r="K34" s="25"/>
      <c r="L34" s="25"/>
    </row>
    <row r="35" spans="2:13" ht="44.45" customHeight="1" x14ac:dyDescent="0.25">
      <c r="B35" s="19"/>
      <c r="C35" s="6"/>
      <c r="D35" s="6"/>
      <c r="E35" s="6"/>
      <c r="F35" s="4"/>
      <c r="G35" s="15"/>
      <c r="H35" s="16"/>
      <c r="I35" s="22" t="s">
        <v>92</v>
      </c>
      <c r="J35" s="9">
        <v>0</v>
      </c>
      <c r="K35" s="25"/>
      <c r="L35" s="25"/>
    </row>
    <row r="36" spans="2:13" ht="30" x14ac:dyDescent="0.25">
      <c r="B36" s="19"/>
      <c r="C36" s="6"/>
      <c r="D36" s="6"/>
      <c r="E36" s="6" t="s">
        <v>12</v>
      </c>
      <c r="F36" s="8">
        <v>0.15</v>
      </c>
      <c r="G36" s="15" t="s">
        <v>13</v>
      </c>
      <c r="H36" s="16">
        <v>0.15</v>
      </c>
      <c r="I36" s="21" t="s">
        <v>46</v>
      </c>
      <c r="J36" s="6">
        <v>100</v>
      </c>
      <c r="K36" s="25"/>
      <c r="L36" s="25" t="s">
        <v>79</v>
      </c>
    </row>
    <row r="37" spans="2:13" x14ac:dyDescent="0.25">
      <c r="B37" s="19"/>
      <c r="C37" s="6"/>
      <c r="D37" s="6"/>
      <c r="E37" s="6"/>
      <c r="F37" s="6"/>
      <c r="G37" s="15"/>
      <c r="H37" s="17"/>
      <c r="I37" s="21" t="s">
        <v>47</v>
      </c>
      <c r="J37" s="6">
        <v>75</v>
      </c>
      <c r="K37" s="25"/>
      <c r="L37" s="25"/>
    </row>
    <row r="38" spans="2:13" x14ac:dyDescent="0.25">
      <c r="B38" s="19"/>
      <c r="C38" s="6"/>
      <c r="D38" s="6" t="s">
        <v>35</v>
      </c>
      <c r="E38" s="6"/>
      <c r="F38" s="6"/>
      <c r="G38" s="15"/>
      <c r="H38" s="15"/>
      <c r="I38" s="21" t="s">
        <v>48</v>
      </c>
      <c r="J38" s="6">
        <v>50</v>
      </c>
      <c r="K38" s="25"/>
      <c r="L38" s="25"/>
    </row>
    <row r="39" spans="2:13" x14ac:dyDescent="0.25">
      <c r="B39" s="19"/>
      <c r="C39" s="6"/>
      <c r="D39" s="6"/>
      <c r="E39" s="6"/>
      <c r="F39" s="6"/>
      <c r="G39" s="15"/>
      <c r="H39" s="15"/>
      <c r="I39" s="21" t="s">
        <v>49</v>
      </c>
      <c r="J39" s="6">
        <v>25</v>
      </c>
      <c r="K39" s="25"/>
      <c r="L39" s="25"/>
    </row>
    <row r="40" spans="2:13" x14ac:dyDescent="0.25">
      <c r="B40" s="19"/>
      <c r="C40" s="6"/>
      <c r="D40" s="6"/>
      <c r="E40" s="6"/>
      <c r="F40" s="6"/>
      <c r="G40" s="15"/>
      <c r="H40" s="15"/>
      <c r="I40" s="21" t="s">
        <v>50</v>
      </c>
      <c r="J40" s="6">
        <v>0</v>
      </c>
      <c r="K40" s="25"/>
      <c r="L40" s="25"/>
    </row>
    <row r="41" spans="2:13" x14ac:dyDescent="0.25">
      <c r="H41" s="18"/>
    </row>
    <row r="42" spans="2:13" x14ac:dyDescent="0.25">
      <c r="I42" s="13" t="s">
        <v>101</v>
      </c>
    </row>
  </sheetData>
  <mergeCells count="9">
    <mergeCell ref="I30:J30"/>
    <mergeCell ref="B1:L1"/>
    <mergeCell ref="B2:L2"/>
    <mergeCell ref="L23:L25"/>
    <mergeCell ref="L27:L29"/>
    <mergeCell ref="C3:D3"/>
    <mergeCell ref="I3:J3"/>
    <mergeCell ref="I22:J22"/>
    <mergeCell ref="I26:J26"/>
  </mergeCells>
  <hyperlinks>
    <hyperlink ref="L10" r:id="rId1" xr:uid="{0E5AE761-4DA8-4EDA-ADA3-4458D5D95B4F}"/>
    <hyperlink ref="L13" r:id="rId2" xr:uid="{A6802DFA-EF14-4A06-B5BA-ECF60EFF3350}"/>
    <hyperlink ref="L18" r:id="rId3" xr:uid="{425330AC-06F2-47BE-A4D0-D9E5EE48957E}"/>
    <hyperlink ref="L20" r:id="rId4" xr:uid="{0907E377-218C-4F66-A938-C7D6F02A098D}"/>
    <hyperlink ref="L22" r:id="rId5" xr:uid="{B2556C39-28C5-4C87-980F-896AE48316CC}"/>
    <hyperlink ref="L4" r:id="rId6" xr:uid="{9DFC2C2A-43FB-4A88-B933-B26BFC329241}"/>
  </hyperlinks>
  <pageMargins left="0.11811023622047245" right="0.11811023622047245" top="0.35433070866141736" bottom="0.15748031496062992" header="0.31496062992125984" footer="0.31496062992125984"/>
  <pageSetup paperSize="9" scale="80" orientation="landscape" r:id="rId7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82390-11C2-414F-9A4E-4968173D66EE}">
  <dimension ref="B1:P41"/>
  <sheetViews>
    <sheetView workbookViewId="0">
      <selection activeCell="L4" sqref="L4"/>
    </sheetView>
  </sheetViews>
  <sheetFormatPr defaultRowHeight="15" x14ac:dyDescent="0.25"/>
  <cols>
    <col min="1" max="1" width="1.7109375" customWidth="1"/>
    <col min="2" max="2" width="17" style="3" customWidth="1"/>
    <col min="3" max="3" width="20" style="1" customWidth="1"/>
    <col min="4" max="4" width="12.28515625" style="1" customWidth="1"/>
    <col min="5" max="5" width="20.85546875" style="1" customWidth="1"/>
    <col min="6" max="6" width="11.28515625" style="1" customWidth="1"/>
    <col min="7" max="7" width="22.28515625" style="14" customWidth="1"/>
    <col min="8" max="8" width="10.28515625" style="14" customWidth="1"/>
    <col min="9" max="9" width="29.42578125" style="13" customWidth="1"/>
    <col min="10" max="10" width="8.85546875" style="1"/>
    <col min="11" max="11" width="18.85546875" style="23" customWidth="1"/>
    <col min="12" max="12" width="21.7109375" style="23" customWidth="1"/>
  </cols>
  <sheetData>
    <row r="1" spans="2:13" ht="21" x14ac:dyDescent="0.35">
      <c r="B1" s="82" t="s">
        <v>14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3" ht="15.75" x14ac:dyDescent="0.25">
      <c r="B2" s="83" t="s">
        <v>93</v>
      </c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2:13" s="13" customFormat="1" ht="27.75" customHeight="1" x14ac:dyDescent="0.25">
      <c r="B3" s="12" t="s">
        <v>0</v>
      </c>
      <c r="C3" s="84" t="s">
        <v>20</v>
      </c>
      <c r="D3" s="84"/>
      <c r="E3" s="5" t="s">
        <v>1</v>
      </c>
      <c r="F3" s="12" t="s">
        <v>2</v>
      </c>
      <c r="G3" s="12" t="s">
        <v>3</v>
      </c>
      <c r="H3" s="12" t="s">
        <v>4</v>
      </c>
      <c r="I3" s="84" t="s">
        <v>20</v>
      </c>
      <c r="J3" s="84"/>
      <c r="K3" s="24" t="s">
        <v>68</v>
      </c>
      <c r="L3" s="24" t="s">
        <v>69</v>
      </c>
    </row>
    <row r="4" spans="2:13" ht="57" x14ac:dyDescent="0.25">
      <c r="B4" s="19" t="s">
        <v>21</v>
      </c>
      <c r="C4" s="4" t="s">
        <v>25</v>
      </c>
      <c r="D4" s="7" t="s">
        <v>26</v>
      </c>
      <c r="E4" s="6" t="s">
        <v>5</v>
      </c>
      <c r="F4" s="8">
        <v>1</v>
      </c>
      <c r="G4" s="15" t="s">
        <v>6</v>
      </c>
      <c r="H4" s="16">
        <v>1</v>
      </c>
      <c r="I4" s="20" t="s">
        <v>15</v>
      </c>
      <c r="J4" s="6">
        <v>100</v>
      </c>
      <c r="K4" s="26" t="s">
        <v>72</v>
      </c>
      <c r="L4" s="32" t="s">
        <v>71</v>
      </c>
    </row>
    <row r="5" spans="2:13" x14ac:dyDescent="0.25">
      <c r="B5" s="19"/>
      <c r="C5" s="4" t="s">
        <v>23</v>
      </c>
      <c r="D5" s="7" t="s">
        <v>27</v>
      </c>
      <c r="E5" s="6"/>
      <c r="F5" s="8"/>
      <c r="G5" s="15"/>
      <c r="H5" s="16"/>
      <c r="I5" s="20" t="s">
        <v>16</v>
      </c>
      <c r="J5" s="6">
        <v>80</v>
      </c>
      <c r="K5" s="28"/>
      <c r="L5" s="31"/>
    </row>
    <row r="6" spans="2:13" x14ac:dyDescent="0.25">
      <c r="B6" s="19"/>
      <c r="C6" s="4" t="s">
        <v>24</v>
      </c>
      <c r="D6" s="4" t="s">
        <v>28</v>
      </c>
      <c r="E6" s="6"/>
      <c r="F6" s="8"/>
      <c r="G6" s="15"/>
      <c r="H6" s="16"/>
      <c r="I6" s="20" t="s">
        <v>17</v>
      </c>
      <c r="J6" s="6">
        <v>60</v>
      </c>
      <c r="K6" s="28"/>
      <c r="L6" s="31"/>
    </row>
    <row r="7" spans="2:13" x14ac:dyDescent="0.25">
      <c r="B7" s="19"/>
      <c r="C7" s="6"/>
      <c r="D7" s="6"/>
      <c r="E7" s="6"/>
      <c r="F7" s="8"/>
      <c r="G7" s="15"/>
      <c r="H7" s="16"/>
      <c r="I7" s="20" t="s">
        <v>18</v>
      </c>
      <c r="J7" s="6">
        <v>40</v>
      </c>
      <c r="K7" s="28"/>
      <c r="L7" s="31"/>
    </row>
    <row r="8" spans="2:13" x14ac:dyDescent="0.25">
      <c r="B8" s="19"/>
      <c r="C8" s="6"/>
      <c r="D8" s="6"/>
      <c r="E8" s="6"/>
      <c r="F8" s="8"/>
      <c r="G8" s="15"/>
      <c r="H8" s="16"/>
      <c r="I8" s="20" t="s">
        <v>19</v>
      </c>
      <c r="J8" s="6">
        <v>20</v>
      </c>
      <c r="K8" s="28"/>
      <c r="L8" s="31"/>
    </row>
    <row r="9" spans="2:13" x14ac:dyDescent="0.25">
      <c r="B9" s="19"/>
      <c r="C9" s="6"/>
      <c r="D9" s="6"/>
      <c r="E9" s="6"/>
      <c r="F9" s="8"/>
      <c r="G9" s="15"/>
      <c r="H9" s="16"/>
      <c r="I9" s="20"/>
      <c r="J9" s="6"/>
      <c r="K9" s="28"/>
      <c r="L9" s="31"/>
    </row>
    <row r="10" spans="2:13" ht="30" customHeight="1" x14ac:dyDescent="0.25">
      <c r="B10" s="19" t="s">
        <v>22</v>
      </c>
      <c r="C10" s="4" t="s">
        <v>29</v>
      </c>
      <c r="D10" s="7" t="s">
        <v>26</v>
      </c>
      <c r="E10" s="6" t="s">
        <v>7</v>
      </c>
      <c r="F10" s="8">
        <v>0.65</v>
      </c>
      <c r="G10" s="15" t="s">
        <v>8</v>
      </c>
      <c r="H10" s="16">
        <v>0.65</v>
      </c>
      <c r="I10" s="20" t="s">
        <v>32</v>
      </c>
      <c r="J10" s="7" t="s">
        <v>37</v>
      </c>
      <c r="K10" s="29" t="s">
        <v>70</v>
      </c>
      <c r="L10" s="32" t="s">
        <v>71</v>
      </c>
      <c r="M10" s="2"/>
    </row>
    <row r="11" spans="2:13" x14ac:dyDescent="0.25">
      <c r="B11" s="19"/>
      <c r="C11" s="4" t="s">
        <v>30</v>
      </c>
      <c r="D11" s="7" t="s">
        <v>27</v>
      </c>
      <c r="E11" s="6"/>
      <c r="F11" s="8"/>
      <c r="G11" s="15"/>
      <c r="H11" s="16"/>
      <c r="I11" s="20" t="s">
        <v>33</v>
      </c>
      <c r="J11" s="7" t="s">
        <v>36</v>
      </c>
      <c r="K11" s="29"/>
      <c r="L11" s="33"/>
      <c r="M11" s="2"/>
    </row>
    <row r="12" spans="2:13" x14ac:dyDescent="0.25">
      <c r="B12" s="19"/>
      <c r="C12" s="4" t="s">
        <v>31</v>
      </c>
      <c r="D12" s="4" t="s">
        <v>28</v>
      </c>
      <c r="E12" s="6"/>
      <c r="F12" s="8"/>
      <c r="G12" s="15"/>
      <c r="H12" s="16"/>
      <c r="I12" s="20" t="s">
        <v>34</v>
      </c>
      <c r="J12" s="4" t="s">
        <v>38</v>
      </c>
      <c r="K12" s="29"/>
      <c r="L12" s="33"/>
      <c r="M12" s="2"/>
    </row>
    <row r="13" spans="2:13" ht="30" x14ac:dyDescent="0.25">
      <c r="B13" s="19"/>
      <c r="C13" s="6"/>
      <c r="D13" s="6"/>
      <c r="E13" s="6" t="s">
        <v>9</v>
      </c>
      <c r="F13" s="8">
        <v>0.2</v>
      </c>
      <c r="G13" s="15" t="s">
        <v>10</v>
      </c>
      <c r="H13" s="16">
        <v>0.05</v>
      </c>
      <c r="I13" s="20" t="s">
        <v>40</v>
      </c>
      <c r="J13" s="6">
        <v>100</v>
      </c>
      <c r="K13" s="28" t="s">
        <v>73</v>
      </c>
      <c r="L13" s="34" t="s">
        <v>74</v>
      </c>
      <c r="M13" t="s">
        <v>67</v>
      </c>
    </row>
    <row r="14" spans="2:13" x14ac:dyDescent="0.25">
      <c r="B14" s="19"/>
      <c r="C14" s="6"/>
      <c r="D14" s="6"/>
      <c r="E14" s="6"/>
      <c r="F14" s="8"/>
      <c r="G14" s="15"/>
      <c r="H14" s="16"/>
      <c r="I14" s="20" t="s">
        <v>41</v>
      </c>
      <c r="J14" s="6">
        <v>90</v>
      </c>
      <c r="K14" s="28"/>
      <c r="L14" s="31"/>
    </row>
    <row r="15" spans="2:13" x14ac:dyDescent="0.25">
      <c r="B15" s="19"/>
      <c r="C15" s="6"/>
      <c r="D15" s="6"/>
      <c r="E15" s="6"/>
      <c r="F15" s="8"/>
      <c r="G15" s="15"/>
      <c r="H15" s="16"/>
      <c r="I15" s="20" t="s">
        <v>42</v>
      </c>
      <c r="J15" s="6">
        <v>80</v>
      </c>
      <c r="K15" s="28"/>
      <c r="L15" s="31"/>
    </row>
    <row r="16" spans="2:13" x14ac:dyDescent="0.25">
      <c r="B16" s="19"/>
      <c r="C16" s="6"/>
      <c r="D16" s="6"/>
      <c r="E16" s="6"/>
      <c r="F16" s="8"/>
      <c r="G16" s="15"/>
      <c r="H16" s="16"/>
      <c r="I16" s="20" t="s">
        <v>43</v>
      </c>
      <c r="J16" s="6">
        <v>70</v>
      </c>
      <c r="K16" s="28"/>
      <c r="L16" s="31"/>
      <c r="M16" t="s">
        <v>85</v>
      </c>
    </row>
    <row r="17" spans="2:16" x14ac:dyDescent="0.25">
      <c r="B17" s="19"/>
      <c r="C17" s="6"/>
      <c r="D17" s="6"/>
      <c r="E17" s="6"/>
      <c r="F17" s="8"/>
      <c r="G17" s="15"/>
      <c r="H17" s="16"/>
      <c r="I17" s="20" t="s">
        <v>44</v>
      </c>
      <c r="J17" s="6">
        <v>60</v>
      </c>
      <c r="K17" s="28"/>
      <c r="L17" s="31"/>
    </row>
    <row r="18" spans="2:16" ht="45" x14ac:dyDescent="0.25">
      <c r="B18" s="19"/>
      <c r="C18" s="6"/>
      <c r="D18" s="6"/>
      <c r="E18" s="6"/>
      <c r="F18" s="4"/>
      <c r="G18" s="15" t="s">
        <v>11</v>
      </c>
      <c r="H18" s="16">
        <v>0.05</v>
      </c>
      <c r="I18" s="21" t="s">
        <v>45</v>
      </c>
      <c r="J18" s="9">
        <v>100</v>
      </c>
      <c r="K18" s="30" t="s">
        <v>75</v>
      </c>
      <c r="L18" s="34" t="s">
        <v>74</v>
      </c>
      <c r="P18" s="13" t="s">
        <v>76</v>
      </c>
    </row>
    <row r="19" spans="2:16" ht="60" x14ac:dyDescent="0.25">
      <c r="B19" s="19"/>
      <c r="C19" s="6"/>
      <c r="D19" s="6"/>
      <c r="E19" s="6"/>
      <c r="F19" s="4"/>
      <c r="G19" s="15"/>
      <c r="H19" s="16"/>
      <c r="I19" s="21" t="s">
        <v>52</v>
      </c>
      <c r="J19" s="9">
        <v>50</v>
      </c>
      <c r="K19" s="28"/>
      <c r="L19" s="31"/>
      <c r="M19" t="s">
        <v>85</v>
      </c>
    </row>
    <row r="20" spans="2:16" ht="64.5" customHeight="1" x14ac:dyDescent="0.25">
      <c r="B20" s="19"/>
      <c r="C20" s="6"/>
      <c r="D20" s="6"/>
      <c r="E20" s="6"/>
      <c r="F20" s="4"/>
      <c r="G20" s="15" t="s">
        <v>51</v>
      </c>
      <c r="H20" s="16">
        <v>0.05</v>
      </c>
      <c r="I20" s="21" t="s">
        <v>53</v>
      </c>
      <c r="J20" s="9">
        <v>100</v>
      </c>
      <c r="K20" s="35" t="s">
        <v>78</v>
      </c>
      <c r="L20" s="34" t="s">
        <v>74</v>
      </c>
    </row>
    <row r="21" spans="2:16" ht="63" customHeight="1" x14ac:dyDescent="0.25">
      <c r="B21" s="19"/>
      <c r="C21" s="6"/>
      <c r="D21" s="6"/>
      <c r="E21" s="6"/>
      <c r="F21" s="4"/>
      <c r="G21" s="15"/>
      <c r="H21" s="16"/>
      <c r="I21" s="21" t="s">
        <v>54</v>
      </c>
      <c r="J21" s="9">
        <v>50</v>
      </c>
      <c r="K21" s="25"/>
      <c r="L21" s="25"/>
      <c r="M21" s="13" t="s">
        <v>77</v>
      </c>
    </row>
    <row r="22" spans="2:16" ht="24.6" customHeight="1" x14ac:dyDescent="0.25">
      <c r="B22" s="19"/>
      <c r="C22" s="6"/>
      <c r="D22" s="6"/>
      <c r="E22" s="6"/>
      <c r="F22" s="4"/>
      <c r="G22" s="15" t="s">
        <v>63</v>
      </c>
      <c r="H22" s="16">
        <v>0.05</v>
      </c>
      <c r="I22" s="100" t="s">
        <v>55</v>
      </c>
      <c r="J22" s="100"/>
      <c r="K22" s="25"/>
      <c r="L22" s="34" t="s">
        <v>74</v>
      </c>
    </row>
    <row r="23" spans="2:16" ht="63" customHeight="1" x14ac:dyDescent="0.25">
      <c r="B23" s="19"/>
      <c r="C23" s="6"/>
      <c r="D23" s="6"/>
      <c r="E23" s="6"/>
      <c r="F23" s="4"/>
      <c r="G23" s="15"/>
      <c r="H23" s="15"/>
      <c r="I23" s="11" t="s">
        <v>56</v>
      </c>
      <c r="J23" s="9">
        <v>100</v>
      </c>
      <c r="K23" s="25"/>
      <c r="L23" s="104" t="s">
        <v>94</v>
      </c>
    </row>
    <row r="24" spans="2:16" ht="72" customHeight="1" x14ac:dyDescent="0.25">
      <c r="B24" s="19"/>
      <c r="C24" s="6"/>
      <c r="D24" s="6"/>
      <c r="E24" s="6"/>
      <c r="F24" s="4"/>
      <c r="G24" s="15"/>
      <c r="H24" s="16"/>
      <c r="I24" s="11" t="s">
        <v>57</v>
      </c>
      <c r="J24" s="9">
        <v>80</v>
      </c>
      <c r="K24" s="25"/>
      <c r="L24" s="105"/>
    </row>
    <row r="25" spans="2:16" ht="67.150000000000006" customHeight="1" x14ac:dyDescent="0.25">
      <c r="B25" s="19"/>
      <c r="C25" s="6"/>
      <c r="D25" s="6"/>
      <c r="E25" s="6"/>
      <c r="F25" s="4"/>
      <c r="G25" s="15"/>
      <c r="H25" s="16"/>
      <c r="I25" s="11" t="s">
        <v>58</v>
      </c>
      <c r="J25" s="9">
        <v>60</v>
      </c>
      <c r="K25" s="25"/>
      <c r="L25" s="106"/>
    </row>
    <row r="26" spans="2:16" ht="25.15" customHeight="1" x14ac:dyDescent="0.25">
      <c r="B26" s="19"/>
      <c r="C26" s="6"/>
      <c r="D26" s="6"/>
      <c r="E26" s="6"/>
      <c r="F26" s="4"/>
      <c r="G26" s="15"/>
      <c r="H26" s="16"/>
      <c r="I26" s="100" t="s">
        <v>59</v>
      </c>
      <c r="J26" s="100"/>
      <c r="K26" s="25"/>
      <c r="L26" s="25"/>
      <c r="M26" t="s">
        <v>81</v>
      </c>
    </row>
    <row r="27" spans="2:16" ht="44.25" customHeight="1" x14ac:dyDescent="0.25">
      <c r="B27" s="19"/>
      <c r="C27" s="6"/>
      <c r="D27" s="6"/>
      <c r="E27" s="6"/>
      <c r="F27" s="4"/>
      <c r="G27" s="15"/>
      <c r="H27" s="16"/>
      <c r="I27" s="22" t="s">
        <v>82</v>
      </c>
      <c r="J27" s="9">
        <v>100</v>
      </c>
      <c r="K27" s="25"/>
      <c r="L27" s="104" t="s">
        <v>95</v>
      </c>
    </row>
    <row r="28" spans="2:16" ht="45" x14ac:dyDescent="0.25">
      <c r="B28" s="19"/>
      <c r="C28" s="6"/>
      <c r="D28" s="6"/>
      <c r="E28" s="6"/>
      <c r="F28" s="4"/>
      <c r="G28" s="15"/>
      <c r="H28" s="16"/>
      <c r="I28" s="22" t="s">
        <v>83</v>
      </c>
      <c r="J28" s="9">
        <v>80</v>
      </c>
      <c r="K28" s="25"/>
      <c r="L28" s="105"/>
    </row>
    <row r="29" spans="2:16" ht="30.75" customHeight="1" x14ac:dyDescent="0.25">
      <c r="B29" s="19"/>
      <c r="C29" s="6"/>
      <c r="D29" s="6"/>
      <c r="E29" s="6"/>
      <c r="F29" s="4"/>
      <c r="G29" s="15"/>
      <c r="H29" s="16"/>
      <c r="I29" s="22" t="s">
        <v>62</v>
      </c>
      <c r="J29" s="9">
        <v>60</v>
      </c>
      <c r="K29" s="25"/>
      <c r="L29" s="106"/>
    </row>
    <row r="30" spans="2:16" ht="30.75" customHeight="1" x14ac:dyDescent="0.25">
      <c r="B30" s="19"/>
      <c r="C30" s="6"/>
      <c r="D30" s="6"/>
      <c r="E30" s="6"/>
      <c r="F30" s="4"/>
      <c r="G30" s="15"/>
      <c r="H30" s="16"/>
      <c r="I30" s="100" t="s">
        <v>64</v>
      </c>
      <c r="J30" s="100"/>
      <c r="K30" s="25"/>
      <c r="L30" s="25"/>
    </row>
    <row r="31" spans="2:16" ht="43.9" customHeight="1" x14ac:dyDescent="0.25">
      <c r="B31" s="19"/>
      <c r="C31" s="6"/>
      <c r="D31" s="6"/>
      <c r="E31" s="6"/>
      <c r="F31" s="4"/>
      <c r="G31" s="15"/>
      <c r="H31" s="16"/>
      <c r="I31" s="11" t="s">
        <v>88</v>
      </c>
      <c r="J31" s="9">
        <v>100</v>
      </c>
      <c r="K31" s="25"/>
      <c r="L31" s="25"/>
    </row>
    <row r="32" spans="2:16" ht="45" customHeight="1" x14ac:dyDescent="0.25">
      <c r="B32" s="19"/>
      <c r="C32" s="6"/>
      <c r="D32" s="6"/>
      <c r="E32" s="6"/>
      <c r="F32" s="4"/>
      <c r="G32" s="15"/>
      <c r="H32" s="16"/>
      <c r="I32" s="11" t="s">
        <v>89</v>
      </c>
      <c r="J32" s="9">
        <v>80</v>
      </c>
      <c r="K32" s="25"/>
      <c r="L32" s="25"/>
    </row>
    <row r="33" spans="2:13" ht="45.6" customHeight="1" x14ac:dyDescent="0.25">
      <c r="B33" s="19"/>
      <c r="C33" s="6"/>
      <c r="D33" s="6"/>
      <c r="E33" s="6"/>
      <c r="F33" s="4"/>
      <c r="G33" s="15"/>
      <c r="H33" s="16"/>
      <c r="I33" s="11" t="s">
        <v>90</v>
      </c>
      <c r="J33" s="9">
        <v>60</v>
      </c>
      <c r="K33" s="25"/>
      <c r="L33" s="25"/>
      <c r="M33" t="s">
        <v>80</v>
      </c>
    </row>
    <row r="34" spans="2:13" ht="60" x14ac:dyDescent="0.25">
      <c r="B34" s="19"/>
      <c r="C34" s="6"/>
      <c r="D34" s="6"/>
      <c r="E34" s="6"/>
      <c r="F34" s="4"/>
      <c r="G34" s="15"/>
      <c r="H34" s="16"/>
      <c r="I34" s="11" t="s">
        <v>91</v>
      </c>
      <c r="J34" s="9">
        <v>40</v>
      </c>
      <c r="K34" s="25"/>
      <c r="L34" s="25"/>
    </row>
    <row r="35" spans="2:13" ht="44.45" customHeight="1" x14ac:dyDescent="0.25">
      <c r="B35" s="19"/>
      <c r="C35" s="6"/>
      <c r="D35" s="6"/>
      <c r="E35" s="6"/>
      <c r="F35" s="4"/>
      <c r="G35" s="15"/>
      <c r="H35" s="16"/>
      <c r="I35" s="22" t="s">
        <v>92</v>
      </c>
      <c r="J35" s="9">
        <v>0</v>
      </c>
      <c r="K35" s="25"/>
      <c r="L35" s="25"/>
    </row>
    <row r="36" spans="2:13" ht="30" x14ac:dyDescent="0.25">
      <c r="B36" s="19"/>
      <c r="C36" s="6"/>
      <c r="D36" s="6"/>
      <c r="E36" s="6" t="s">
        <v>12</v>
      </c>
      <c r="F36" s="8">
        <v>0.15</v>
      </c>
      <c r="G36" s="15" t="s">
        <v>13</v>
      </c>
      <c r="H36" s="16">
        <v>0.15</v>
      </c>
      <c r="I36" s="21" t="s">
        <v>46</v>
      </c>
      <c r="J36" s="6">
        <v>100</v>
      </c>
      <c r="K36" s="25"/>
      <c r="L36" s="25" t="s">
        <v>79</v>
      </c>
    </row>
    <row r="37" spans="2:13" x14ac:dyDescent="0.25">
      <c r="B37" s="19"/>
      <c r="C37" s="6"/>
      <c r="D37" s="6"/>
      <c r="E37" s="6"/>
      <c r="F37" s="6"/>
      <c r="G37" s="15"/>
      <c r="H37" s="17"/>
      <c r="I37" s="21" t="s">
        <v>47</v>
      </c>
      <c r="J37" s="6">
        <v>75</v>
      </c>
      <c r="K37" s="25"/>
      <c r="L37" s="25"/>
    </row>
    <row r="38" spans="2:13" x14ac:dyDescent="0.25">
      <c r="B38" s="19"/>
      <c r="C38" s="6"/>
      <c r="D38" s="6" t="s">
        <v>35</v>
      </c>
      <c r="E38" s="6"/>
      <c r="F38" s="6"/>
      <c r="G38" s="15"/>
      <c r="H38" s="15"/>
      <c r="I38" s="21" t="s">
        <v>48</v>
      </c>
      <c r="J38" s="6">
        <v>50</v>
      </c>
      <c r="K38" s="25"/>
      <c r="L38" s="25"/>
    </row>
    <row r="39" spans="2:13" x14ac:dyDescent="0.25">
      <c r="B39" s="19"/>
      <c r="C39" s="6"/>
      <c r="D39" s="6"/>
      <c r="E39" s="6"/>
      <c r="F39" s="6"/>
      <c r="G39" s="15"/>
      <c r="H39" s="15"/>
      <c r="I39" s="21" t="s">
        <v>49</v>
      </c>
      <c r="J39" s="6">
        <v>25</v>
      </c>
      <c r="K39" s="25"/>
      <c r="L39" s="25"/>
    </row>
    <row r="40" spans="2:13" x14ac:dyDescent="0.25">
      <c r="B40" s="19"/>
      <c r="C40" s="6"/>
      <c r="D40" s="6"/>
      <c r="E40" s="6"/>
      <c r="F40" s="6"/>
      <c r="G40" s="15"/>
      <c r="H40" s="15"/>
      <c r="I40" s="21" t="s">
        <v>50</v>
      </c>
      <c r="J40" s="6">
        <v>0</v>
      </c>
      <c r="K40" s="25"/>
      <c r="L40" s="25"/>
    </row>
    <row r="41" spans="2:13" x14ac:dyDescent="0.25">
      <c r="H41" s="18"/>
    </row>
  </sheetData>
  <mergeCells count="9">
    <mergeCell ref="I26:J26"/>
    <mergeCell ref="L27:L29"/>
    <mergeCell ref="I30:J30"/>
    <mergeCell ref="B1:L1"/>
    <mergeCell ref="B2:L2"/>
    <mergeCell ref="C3:D3"/>
    <mergeCell ref="I3:J3"/>
    <mergeCell ref="I22:J22"/>
    <mergeCell ref="L23:L25"/>
  </mergeCells>
  <hyperlinks>
    <hyperlink ref="L10" r:id="rId1" xr:uid="{B581E1E5-453F-4DD3-BA86-C286EA9AB37B}"/>
    <hyperlink ref="L13" r:id="rId2" xr:uid="{D13D0C56-D909-43AD-A038-1CA1D3DB5828}"/>
    <hyperlink ref="L18" r:id="rId3" xr:uid="{A53C5FAC-00D0-46CC-A224-4740ADB5A848}"/>
    <hyperlink ref="L20" r:id="rId4" xr:uid="{4CDFE58E-993D-4E16-8C14-E442F8008EF1}"/>
    <hyperlink ref="L22" r:id="rId5" xr:uid="{38B09544-73CC-4A08-9795-960A3F0748CA}"/>
    <hyperlink ref="L4" r:id="rId6" xr:uid="{702DEF94-8E84-404A-97B0-2F4045B32024}"/>
  </hyperlinks>
  <pageMargins left="0.11811023622047245" right="0.11811023622047245" top="0.35433070866141736" bottom="0.15748031496062992" header="0.31496062992125984" footer="0.31496062992125984"/>
  <pageSetup paperSize="9" scale="80" orientation="landscape" r:id="rId7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5095-2BE2-4981-931A-FD3CBCF2635B}">
  <dimension ref="B1:P41"/>
  <sheetViews>
    <sheetView topLeftCell="F1" zoomScale="82" workbookViewId="0">
      <selection activeCell="L4" sqref="L4"/>
    </sheetView>
  </sheetViews>
  <sheetFormatPr defaultRowHeight="15" x14ac:dyDescent="0.25"/>
  <cols>
    <col min="1" max="1" width="1.7109375" customWidth="1"/>
    <col min="2" max="2" width="17" style="3" customWidth="1"/>
    <col min="3" max="3" width="20" style="1" customWidth="1"/>
    <col min="4" max="4" width="12.28515625" style="1" customWidth="1"/>
    <col min="5" max="5" width="20.85546875" style="1" customWidth="1"/>
    <col min="6" max="6" width="11.28515625" style="1" customWidth="1"/>
    <col min="7" max="7" width="22.28515625" style="14" customWidth="1"/>
    <col min="8" max="8" width="10.28515625" style="14" customWidth="1"/>
    <col min="9" max="9" width="29.42578125" style="13" customWidth="1"/>
    <col min="10" max="10" width="8.85546875" style="1"/>
    <col min="11" max="11" width="18.85546875" style="23" customWidth="1"/>
    <col min="12" max="12" width="21.7109375" style="23" customWidth="1"/>
  </cols>
  <sheetData>
    <row r="1" spans="2:13" ht="21" x14ac:dyDescent="0.35">
      <c r="B1" s="82" t="s">
        <v>14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3" ht="15.75" x14ac:dyDescent="0.25">
      <c r="B2" s="83" t="s">
        <v>96</v>
      </c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2:13" s="13" customFormat="1" ht="27.75" customHeight="1" x14ac:dyDescent="0.25">
      <c r="B3" s="12" t="s">
        <v>0</v>
      </c>
      <c r="C3" s="84" t="s">
        <v>20</v>
      </c>
      <c r="D3" s="84"/>
      <c r="E3" s="5" t="s">
        <v>1</v>
      </c>
      <c r="F3" s="12" t="s">
        <v>2</v>
      </c>
      <c r="G3" s="12" t="s">
        <v>3</v>
      </c>
      <c r="H3" s="12" t="s">
        <v>4</v>
      </c>
      <c r="I3" s="84" t="s">
        <v>20</v>
      </c>
      <c r="J3" s="84"/>
      <c r="K3" s="24" t="s">
        <v>68</v>
      </c>
      <c r="L3" s="24" t="s">
        <v>69</v>
      </c>
    </row>
    <row r="4" spans="2:13" ht="57" x14ac:dyDescent="0.25">
      <c r="B4" s="19" t="s">
        <v>21</v>
      </c>
      <c r="C4" s="5" t="s">
        <v>25</v>
      </c>
      <c r="D4" s="36" t="s">
        <v>26</v>
      </c>
      <c r="E4" s="9" t="s">
        <v>5</v>
      </c>
      <c r="F4" s="10">
        <v>1</v>
      </c>
      <c r="G4" s="15" t="s">
        <v>6</v>
      </c>
      <c r="H4" s="16">
        <v>1</v>
      </c>
      <c r="I4" s="20" t="s">
        <v>15</v>
      </c>
      <c r="J4" s="6">
        <v>100</v>
      </c>
      <c r="K4" s="26" t="s">
        <v>72</v>
      </c>
      <c r="L4" s="32" t="s">
        <v>71</v>
      </c>
    </row>
    <row r="5" spans="2:13" x14ac:dyDescent="0.25">
      <c r="B5" s="19"/>
      <c r="C5" s="4" t="s">
        <v>23</v>
      </c>
      <c r="D5" s="7" t="s">
        <v>27</v>
      </c>
      <c r="E5" s="6"/>
      <c r="F5" s="8"/>
      <c r="G5" s="15"/>
      <c r="H5" s="16"/>
      <c r="I5" s="20" t="s">
        <v>16</v>
      </c>
      <c r="J5" s="6">
        <v>80</v>
      </c>
      <c r="K5" s="28"/>
      <c r="L5" s="31"/>
    </row>
    <row r="6" spans="2:13" x14ac:dyDescent="0.25">
      <c r="B6" s="19"/>
      <c r="C6" s="4" t="s">
        <v>24</v>
      </c>
      <c r="D6" s="4" t="s">
        <v>28</v>
      </c>
      <c r="E6" s="6"/>
      <c r="F6" s="8"/>
      <c r="G6" s="15"/>
      <c r="H6" s="16"/>
      <c r="I6" s="20" t="s">
        <v>17</v>
      </c>
      <c r="J6" s="6">
        <v>60</v>
      </c>
      <c r="K6" s="28"/>
      <c r="L6" s="31"/>
    </row>
    <row r="7" spans="2:13" x14ac:dyDescent="0.25">
      <c r="B7" s="19"/>
      <c r="C7" s="6"/>
      <c r="D7" s="6"/>
      <c r="E7" s="6"/>
      <c r="F7" s="8"/>
      <c r="G7" s="15"/>
      <c r="H7" s="16"/>
      <c r="I7" s="20" t="s">
        <v>18</v>
      </c>
      <c r="J7" s="6">
        <v>40</v>
      </c>
      <c r="K7" s="28"/>
      <c r="L7" s="31"/>
    </row>
    <row r="8" spans="2:13" x14ac:dyDescent="0.25">
      <c r="B8" s="19"/>
      <c r="C8" s="6"/>
      <c r="D8" s="6"/>
      <c r="E8" s="6"/>
      <c r="F8" s="8"/>
      <c r="G8" s="15"/>
      <c r="H8" s="16"/>
      <c r="I8" s="20" t="s">
        <v>19</v>
      </c>
      <c r="J8" s="6">
        <v>20</v>
      </c>
      <c r="K8" s="28"/>
      <c r="L8" s="31"/>
    </row>
    <row r="9" spans="2:13" x14ac:dyDescent="0.25">
      <c r="B9" s="19"/>
      <c r="C9" s="6"/>
      <c r="D9" s="6"/>
      <c r="E9" s="6"/>
      <c r="F9" s="8"/>
      <c r="G9" s="15"/>
      <c r="H9" s="16"/>
      <c r="I9" s="20"/>
      <c r="J9" s="6"/>
      <c r="K9" s="28"/>
      <c r="L9" s="31"/>
    </row>
    <row r="10" spans="2:13" ht="30" customHeight="1" x14ac:dyDescent="0.25">
      <c r="B10" s="19" t="s">
        <v>22</v>
      </c>
      <c r="C10" s="4" t="s">
        <v>29</v>
      </c>
      <c r="D10" s="7" t="s">
        <v>26</v>
      </c>
      <c r="E10" s="6" t="s">
        <v>7</v>
      </c>
      <c r="F10" s="8">
        <v>0.65</v>
      </c>
      <c r="G10" s="15" t="s">
        <v>8</v>
      </c>
      <c r="H10" s="16">
        <v>0.65</v>
      </c>
      <c r="I10" s="20" t="s">
        <v>32</v>
      </c>
      <c r="J10" s="7" t="s">
        <v>37</v>
      </c>
      <c r="K10" s="29" t="s">
        <v>70</v>
      </c>
      <c r="L10" s="32" t="s">
        <v>71</v>
      </c>
      <c r="M10" s="2"/>
    </row>
    <row r="11" spans="2:13" x14ac:dyDescent="0.25">
      <c r="B11" s="19"/>
      <c r="C11" s="4" t="s">
        <v>30</v>
      </c>
      <c r="D11" s="7" t="s">
        <v>27</v>
      </c>
      <c r="E11" s="6"/>
      <c r="F11" s="8"/>
      <c r="G11" s="15"/>
      <c r="H11" s="16"/>
      <c r="I11" s="20" t="s">
        <v>33</v>
      </c>
      <c r="J11" s="7" t="s">
        <v>36</v>
      </c>
      <c r="K11" s="29"/>
      <c r="L11" s="33"/>
      <c r="M11" s="2"/>
    </row>
    <row r="12" spans="2:13" x14ac:dyDescent="0.25">
      <c r="B12" s="19"/>
      <c r="C12" s="4" t="s">
        <v>31</v>
      </c>
      <c r="D12" s="4" t="s">
        <v>28</v>
      </c>
      <c r="E12" s="6"/>
      <c r="F12" s="8"/>
      <c r="G12" s="15"/>
      <c r="H12" s="16"/>
      <c r="I12" s="20" t="s">
        <v>34</v>
      </c>
      <c r="J12" s="4" t="s">
        <v>38</v>
      </c>
      <c r="K12" s="29"/>
      <c r="L12" s="33"/>
      <c r="M12" s="2"/>
    </row>
    <row r="13" spans="2:13" ht="43.5" x14ac:dyDescent="0.25">
      <c r="B13" s="19"/>
      <c r="C13" s="6"/>
      <c r="D13" s="6"/>
      <c r="E13" s="6" t="s">
        <v>9</v>
      </c>
      <c r="F13" s="8">
        <v>0.2</v>
      </c>
      <c r="G13" s="15" t="s">
        <v>10</v>
      </c>
      <c r="H13" s="16">
        <v>0.05</v>
      </c>
      <c r="I13" s="20" t="s">
        <v>40</v>
      </c>
      <c r="J13" s="6">
        <v>100</v>
      </c>
      <c r="K13" s="29" t="s">
        <v>98</v>
      </c>
      <c r="L13" s="34" t="s">
        <v>74</v>
      </c>
      <c r="M13" t="s">
        <v>67</v>
      </c>
    </row>
    <row r="14" spans="2:13" x14ac:dyDescent="0.25">
      <c r="B14" s="19"/>
      <c r="C14" s="6"/>
      <c r="D14" s="6"/>
      <c r="E14" s="6"/>
      <c r="F14" s="8"/>
      <c r="G14" s="15"/>
      <c r="H14" s="16"/>
      <c r="I14" s="20" t="s">
        <v>41</v>
      </c>
      <c r="J14" s="6">
        <v>90</v>
      </c>
      <c r="K14" s="28"/>
      <c r="L14" s="31"/>
    </row>
    <row r="15" spans="2:13" x14ac:dyDescent="0.25">
      <c r="B15" s="19"/>
      <c r="C15" s="6"/>
      <c r="D15" s="6"/>
      <c r="E15" s="6"/>
      <c r="F15" s="8"/>
      <c r="G15" s="15"/>
      <c r="H15" s="16"/>
      <c r="I15" s="20" t="s">
        <v>42</v>
      </c>
      <c r="J15" s="6">
        <v>80</v>
      </c>
      <c r="K15" s="28"/>
      <c r="L15" s="31"/>
    </row>
    <row r="16" spans="2:13" x14ac:dyDescent="0.25">
      <c r="B16" s="19"/>
      <c r="C16" s="6"/>
      <c r="D16" s="6"/>
      <c r="E16" s="6"/>
      <c r="F16" s="8"/>
      <c r="G16" s="15"/>
      <c r="H16" s="16"/>
      <c r="I16" s="20" t="s">
        <v>43</v>
      </c>
      <c r="J16" s="6">
        <v>70</v>
      </c>
      <c r="K16" s="28"/>
      <c r="L16" s="31"/>
      <c r="M16" t="s">
        <v>85</v>
      </c>
    </row>
    <row r="17" spans="2:16" x14ac:dyDescent="0.25">
      <c r="B17" s="19"/>
      <c r="C17" s="6"/>
      <c r="D17" s="6"/>
      <c r="E17" s="6"/>
      <c r="F17" s="8"/>
      <c r="G17" s="15"/>
      <c r="H17" s="16"/>
      <c r="I17" s="20" t="s">
        <v>44</v>
      </c>
      <c r="J17" s="6">
        <v>60</v>
      </c>
      <c r="K17" s="28"/>
      <c r="L17" s="31"/>
    </row>
    <row r="18" spans="2:16" ht="57.75" x14ac:dyDescent="0.25">
      <c r="B18" s="19"/>
      <c r="C18" s="6"/>
      <c r="D18" s="6"/>
      <c r="E18" s="6"/>
      <c r="F18" s="4"/>
      <c r="G18" s="15" t="s">
        <v>11</v>
      </c>
      <c r="H18" s="16">
        <v>0.05</v>
      </c>
      <c r="I18" s="21" t="s">
        <v>45</v>
      </c>
      <c r="J18" s="9">
        <v>100</v>
      </c>
      <c r="K18" s="29" t="s">
        <v>97</v>
      </c>
      <c r="L18" s="34" t="s">
        <v>74</v>
      </c>
      <c r="P18" s="13" t="s">
        <v>76</v>
      </c>
    </row>
    <row r="19" spans="2:16" ht="60" x14ac:dyDescent="0.25">
      <c r="B19" s="19"/>
      <c r="C19" s="6"/>
      <c r="D19" s="6"/>
      <c r="E19" s="6"/>
      <c r="F19" s="4"/>
      <c r="G19" s="15"/>
      <c r="H19" s="16"/>
      <c r="I19" s="21" t="s">
        <v>52</v>
      </c>
      <c r="J19" s="9">
        <v>50</v>
      </c>
      <c r="K19" s="28"/>
      <c r="L19" s="31"/>
      <c r="M19" t="s">
        <v>85</v>
      </c>
    </row>
    <row r="20" spans="2:16" ht="64.5" customHeight="1" x14ac:dyDescent="0.25">
      <c r="B20" s="19"/>
      <c r="C20" s="6"/>
      <c r="D20" s="6"/>
      <c r="E20" s="6"/>
      <c r="F20" s="4"/>
      <c r="G20" s="15" t="s">
        <v>51</v>
      </c>
      <c r="H20" s="16">
        <v>0.05</v>
      </c>
      <c r="I20" s="21" t="s">
        <v>53</v>
      </c>
      <c r="J20" s="9">
        <v>100</v>
      </c>
      <c r="K20" s="35" t="s">
        <v>99</v>
      </c>
      <c r="L20" s="34" t="s">
        <v>74</v>
      </c>
    </row>
    <row r="21" spans="2:16" ht="63" customHeight="1" x14ac:dyDescent="0.25">
      <c r="B21" s="19"/>
      <c r="C21" s="6"/>
      <c r="D21" s="6"/>
      <c r="E21" s="6"/>
      <c r="F21" s="4"/>
      <c r="G21" s="15"/>
      <c r="H21" s="16"/>
      <c r="I21" s="21" t="s">
        <v>54</v>
      </c>
      <c r="J21" s="9">
        <v>50</v>
      </c>
      <c r="K21" s="25"/>
      <c r="L21" s="25"/>
      <c r="M21" s="13" t="s">
        <v>77</v>
      </c>
    </row>
    <row r="22" spans="2:16" ht="34.9" customHeight="1" x14ac:dyDescent="0.25">
      <c r="B22" s="19"/>
      <c r="C22" s="6"/>
      <c r="D22" s="6"/>
      <c r="E22" s="6"/>
      <c r="F22" s="4"/>
      <c r="G22" s="15" t="s">
        <v>63</v>
      </c>
      <c r="H22" s="16">
        <v>0.05</v>
      </c>
      <c r="I22" s="100" t="s">
        <v>55</v>
      </c>
      <c r="J22" s="100"/>
      <c r="K22" s="27" t="s">
        <v>100</v>
      </c>
      <c r="L22" s="34" t="s">
        <v>74</v>
      </c>
    </row>
    <row r="23" spans="2:16" ht="63" customHeight="1" x14ac:dyDescent="0.25">
      <c r="B23" s="19"/>
      <c r="C23" s="6"/>
      <c r="D23" s="6"/>
      <c r="E23" s="6"/>
      <c r="F23" s="4"/>
      <c r="G23" s="15"/>
      <c r="H23" s="15"/>
      <c r="I23" s="11" t="s">
        <v>56</v>
      </c>
      <c r="J23" s="9">
        <v>100</v>
      </c>
      <c r="K23" s="25"/>
      <c r="L23" s="104" t="s">
        <v>94</v>
      </c>
    </row>
    <row r="24" spans="2:16" ht="72" customHeight="1" x14ac:dyDescent="0.25">
      <c r="B24" s="19"/>
      <c r="C24" s="6"/>
      <c r="D24" s="6"/>
      <c r="E24" s="6"/>
      <c r="F24" s="4"/>
      <c r="G24" s="15"/>
      <c r="H24" s="16"/>
      <c r="I24" s="11" t="s">
        <v>57</v>
      </c>
      <c r="J24" s="9">
        <v>80</v>
      </c>
      <c r="K24" s="25"/>
      <c r="L24" s="105"/>
    </row>
    <row r="25" spans="2:16" ht="67.150000000000006" customHeight="1" x14ac:dyDescent="0.25">
      <c r="B25" s="19"/>
      <c r="C25" s="6"/>
      <c r="D25" s="6"/>
      <c r="E25" s="6"/>
      <c r="F25" s="4"/>
      <c r="G25" s="15"/>
      <c r="H25" s="16"/>
      <c r="I25" s="11" t="s">
        <v>58</v>
      </c>
      <c r="J25" s="9">
        <v>60</v>
      </c>
      <c r="K25" s="25"/>
      <c r="L25" s="106"/>
    </row>
    <row r="26" spans="2:16" ht="25.15" customHeight="1" x14ac:dyDescent="0.25">
      <c r="B26" s="19"/>
      <c r="C26" s="6"/>
      <c r="D26" s="6"/>
      <c r="E26" s="6"/>
      <c r="F26" s="4"/>
      <c r="G26" s="15"/>
      <c r="H26" s="16"/>
      <c r="I26" s="100" t="s">
        <v>59</v>
      </c>
      <c r="J26" s="100"/>
      <c r="K26" s="25"/>
      <c r="L26" s="25"/>
      <c r="M26" t="s">
        <v>81</v>
      </c>
    </row>
    <row r="27" spans="2:16" ht="44.25" customHeight="1" x14ac:dyDescent="0.25">
      <c r="B27" s="19"/>
      <c r="C27" s="6"/>
      <c r="D27" s="6"/>
      <c r="E27" s="6"/>
      <c r="F27" s="4"/>
      <c r="G27" s="15"/>
      <c r="H27" s="16"/>
      <c r="I27" s="22" t="s">
        <v>82</v>
      </c>
      <c r="J27" s="9">
        <v>100</v>
      </c>
      <c r="K27" s="25"/>
      <c r="L27" s="104" t="s">
        <v>95</v>
      </c>
    </row>
    <row r="28" spans="2:16" ht="45" x14ac:dyDescent="0.25">
      <c r="B28" s="19"/>
      <c r="C28" s="6"/>
      <c r="D28" s="6"/>
      <c r="E28" s="6"/>
      <c r="F28" s="4"/>
      <c r="G28" s="15"/>
      <c r="H28" s="16"/>
      <c r="I28" s="22" t="s">
        <v>83</v>
      </c>
      <c r="J28" s="9">
        <v>80</v>
      </c>
      <c r="K28" s="25"/>
      <c r="L28" s="105"/>
    </row>
    <row r="29" spans="2:16" ht="30.75" customHeight="1" x14ac:dyDescent="0.25">
      <c r="B29" s="19"/>
      <c r="C29" s="6"/>
      <c r="D29" s="6"/>
      <c r="E29" s="6"/>
      <c r="F29" s="4"/>
      <c r="G29" s="15"/>
      <c r="H29" s="16"/>
      <c r="I29" s="22" t="s">
        <v>62</v>
      </c>
      <c r="J29" s="9">
        <v>60</v>
      </c>
      <c r="K29" s="25"/>
      <c r="L29" s="106"/>
    </row>
    <row r="30" spans="2:16" ht="30.75" customHeight="1" x14ac:dyDescent="0.25">
      <c r="B30" s="19"/>
      <c r="C30" s="6"/>
      <c r="D30" s="6"/>
      <c r="E30" s="6"/>
      <c r="F30" s="4"/>
      <c r="G30" s="15"/>
      <c r="H30" s="16"/>
      <c r="I30" s="100" t="s">
        <v>64</v>
      </c>
      <c r="J30" s="100"/>
      <c r="K30" s="25"/>
      <c r="L30" s="25"/>
    </row>
    <row r="31" spans="2:16" ht="43.9" customHeight="1" x14ac:dyDescent="0.25">
      <c r="B31" s="19"/>
      <c r="C31" s="6"/>
      <c r="D31" s="6"/>
      <c r="E31" s="6"/>
      <c r="F31" s="4"/>
      <c r="G31" s="15"/>
      <c r="H31" s="16"/>
      <c r="I31" s="11" t="s">
        <v>88</v>
      </c>
      <c r="J31" s="9">
        <v>100</v>
      </c>
      <c r="K31" s="25"/>
      <c r="L31" s="25"/>
    </row>
    <row r="32" spans="2:16" ht="45" customHeight="1" x14ac:dyDescent="0.25">
      <c r="B32" s="19"/>
      <c r="C32" s="6"/>
      <c r="D32" s="6"/>
      <c r="E32" s="6"/>
      <c r="F32" s="4"/>
      <c r="G32" s="15"/>
      <c r="H32" s="16"/>
      <c r="I32" s="11" t="s">
        <v>89</v>
      </c>
      <c r="J32" s="9">
        <v>80</v>
      </c>
      <c r="K32" s="25"/>
      <c r="L32" s="25"/>
    </row>
    <row r="33" spans="2:13" ht="45.6" customHeight="1" x14ac:dyDescent="0.25">
      <c r="B33" s="19"/>
      <c r="C33" s="6"/>
      <c r="D33" s="6"/>
      <c r="E33" s="6"/>
      <c r="F33" s="4"/>
      <c r="G33" s="15"/>
      <c r="H33" s="16"/>
      <c r="I33" s="11" t="s">
        <v>90</v>
      </c>
      <c r="J33" s="9">
        <v>60</v>
      </c>
      <c r="K33" s="25"/>
      <c r="L33" s="25"/>
      <c r="M33" t="s">
        <v>80</v>
      </c>
    </row>
    <row r="34" spans="2:13" ht="60" x14ac:dyDescent="0.25">
      <c r="B34" s="19"/>
      <c r="C34" s="6"/>
      <c r="D34" s="6"/>
      <c r="E34" s="6"/>
      <c r="F34" s="4"/>
      <c r="G34" s="15"/>
      <c r="H34" s="16"/>
      <c r="I34" s="11" t="s">
        <v>91</v>
      </c>
      <c r="J34" s="9">
        <v>40</v>
      </c>
      <c r="K34" s="25"/>
      <c r="L34" s="25"/>
    </row>
    <row r="35" spans="2:13" ht="44.45" customHeight="1" x14ac:dyDescent="0.25">
      <c r="B35" s="19"/>
      <c r="C35" s="6"/>
      <c r="D35" s="6"/>
      <c r="E35" s="6"/>
      <c r="F35" s="4"/>
      <c r="G35" s="15"/>
      <c r="H35" s="16"/>
      <c r="I35" s="22" t="s">
        <v>92</v>
      </c>
      <c r="J35" s="9">
        <v>0</v>
      </c>
      <c r="K35" s="25"/>
      <c r="L35" s="25"/>
    </row>
    <row r="36" spans="2:13" ht="30" x14ac:dyDescent="0.25">
      <c r="B36" s="19"/>
      <c r="C36" s="6"/>
      <c r="D36" s="6"/>
      <c r="E36" s="6" t="s">
        <v>12</v>
      </c>
      <c r="F36" s="8">
        <v>0.15</v>
      </c>
      <c r="G36" s="15" t="s">
        <v>13</v>
      </c>
      <c r="H36" s="16">
        <v>0.15</v>
      </c>
      <c r="I36" s="21" t="s">
        <v>46</v>
      </c>
      <c r="J36" s="6">
        <v>100</v>
      </c>
      <c r="K36" s="25"/>
      <c r="L36" s="25" t="s">
        <v>79</v>
      </c>
    </row>
    <row r="37" spans="2:13" x14ac:dyDescent="0.25">
      <c r="B37" s="19"/>
      <c r="C37" s="6"/>
      <c r="D37" s="6"/>
      <c r="E37" s="6"/>
      <c r="F37" s="6"/>
      <c r="G37" s="15"/>
      <c r="H37" s="17"/>
      <c r="I37" s="21" t="s">
        <v>47</v>
      </c>
      <c r="J37" s="6">
        <v>75</v>
      </c>
      <c r="K37" s="25"/>
      <c r="L37" s="25"/>
    </row>
    <row r="38" spans="2:13" x14ac:dyDescent="0.25">
      <c r="B38" s="19"/>
      <c r="C38" s="6"/>
      <c r="D38" s="6" t="s">
        <v>35</v>
      </c>
      <c r="E38" s="6"/>
      <c r="F38" s="6"/>
      <c r="G38" s="15"/>
      <c r="H38" s="15"/>
      <c r="I38" s="21" t="s">
        <v>48</v>
      </c>
      <c r="J38" s="6">
        <v>50</v>
      </c>
      <c r="K38" s="25"/>
      <c r="L38" s="25"/>
    </row>
    <row r="39" spans="2:13" x14ac:dyDescent="0.25">
      <c r="B39" s="19"/>
      <c r="C39" s="6"/>
      <c r="D39" s="6"/>
      <c r="E39" s="6"/>
      <c r="F39" s="6"/>
      <c r="G39" s="15"/>
      <c r="H39" s="15"/>
      <c r="I39" s="21" t="s">
        <v>49</v>
      </c>
      <c r="J39" s="6">
        <v>25</v>
      </c>
      <c r="K39" s="25"/>
      <c r="L39" s="25"/>
    </row>
    <row r="40" spans="2:13" x14ac:dyDescent="0.25">
      <c r="B40" s="19"/>
      <c r="C40" s="6"/>
      <c r="D40" s="6"/>
      <c r="E40" s="6"/>
      <c r="F40" s="6"/>
      <c r="G40" s="15"/>
      <c r="H40" s="15"/>
      <c r="I40" s="21" t="s">
        <v>50</v>
      </c>
      <c r="J40" s="6">
        <v>0</v>
      </c>
      <c r="K40" s="25"/>
      <c r="L40" s="25"/>
    </row>
    <row r="41" spans="2:13" x14ac:dyDescent="0.25">
      <c r="H41" s="18"/>
    </row>
  </sheetData>
  <mergeCells count="9">
    <mergeCell ref="I26:J26"/>
    <mergeCell ref="L27:L29"/>
    <mergeCell ref="I30:J30"/>
    <mergeCell ref="B1:L1"/>
    <mergeCell ref="B2:L2"/>
    <mergeCell ref="C3:D3"/>
    <mergeCell ref="I3:J3"/>
    <mergeCell ref="I22:J22"/>
    <mergeCell ref="L23:L25"/>
  </mergeCells>
  <hyperlinks>
    <hyperlink ref="L10" r:id="rId1" xr:uid="{52F745AE-4E2F-4846-9420-12A7B74F9A01}"/>
    <hyperlink ref="L13" r:id="rId2" xr:uid="{BD8DC340-F165-4652-BF35-E9B6C7445B1A}"/>
    <hyperlink ref="L18" r:id="rId3" xr:uid="{6CB018AE-EF60-457B-87FD-F201CFD924F4}"/>
    <hyperlink ref="L20" r:id="rId4" xr:uid="{6189144F-2C94-41A2-AB3E-F157E9A41D8E}"/>
    <hyperlink ref="L22" r:id="rId5" xr:uid="{096E2114-E3BE-471B-83BE-6B4A65434CA9}"/>
    <hyperlink ref="L4" r:id="rId6" xr:uid="{05FA0BE7-15F3-4971-857F-96E631C1E356}"/>
  </hyperlinks>
  <pageMargins left="0.11811023622047245" right="0.11811023622047245" top="0.35433070866141736" bottom="0.15748031496062992" header="0.31496062992125984" footer="0.31496062992125984"/>
  <pageSetup paperSize="9" scale="80" orientation="landscape" r:id="rId7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30D49-6CA8-42CB-A801-02F10BAF9C3F}">
  <dimension ref="B1:P42"/>
  <sheetViews>
    <sheetView view="pageBreakPreview" zoomScale="40" zoomScaleNormal="84" zoomScaleSheetLayoutView="40" workbookViewId="0">
      <selection activeCell="E28" sqref="E28"/>
    </sheetView>
  </sheetViews>
  <sheetFormatPr defaultRowHeight="15" x14ac:dyDescent="0.25"/>
  <cols>
    <col min="1" max="1" width="1.7109375" customWidth="1"/>
    <col min="2" max="2" width="17" style="3" customWidth="1"/>
    <col min="3" max="3" width="25.85546875" style="1" bestFit="1" customWidth="1"/>
    <col min="4" max="4" width="12.28515625" style="1" customWidth="1"/>
    <col min="5" max="5" width="20.85546875" style="1" customWidth="1"/>
    <col min="6" max="6" width="11.28515625" style="1" customWidth="1"/>
    <col min="7" max="7" width="22.28515625" style="14" customWidth="1"/>
    <col min="8" max="8" width="10.28515625" style="14" customWidth="1"/>
    <col min="9" max="9" width="33.7109375" style="13" customWidth="1"/>
    <col min="10" max="10" width="8.85546875" style="1"/>
    <col min="11" max="11" width="18.85546875" style="23" customWidth="1"/>
    <col min="12" max="12" width="21.7109375" style="38" customWidth="1"/>
  </cols>
  <sheetData>
    <row r="1" spans="2:13" ht="21" x14ac:dyDescent="0.35">
      <c r="B1" s="82" t="s">
        <v>14</v>
      </c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2:13" ht="15.75" x14ac:dyDescent="0.25">
      <c r="B2" s="83" t="s">
        <v>84</v>
      </c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2:13" s="13" customFormat="1" ht="27.75" customHeight="1" x14ac:dyDescent="0.25">
      <c r="B3" s="12" t="s">
        <v>0</v>
      </c>
      <c r="C3" s="84" t="s">
        <v>20</v>
      </c>
      <c r="D3" s="84"/>
      <c r="E3" s="5" t="s">
        <v>1</v>
      </c>
      <c r="F3" s="12" t="s">
        <v>2</v>
      </c>
      <c r="G3" s="12" t="s">
        <v>3</v>
      </c>
      <c r="H3" s="12" t="s">
        <v>4</v>
      </c>
      <c r="I3" s="84" t="s">
        <v>20</v>
      </c>
      <c r="J3" s="84"/>
      <c r="K3" s="24" t="s">
        <v>68</v>
      </c>
      <c r="L3" s="37" t="s">
        <v>69</v>
      </c>
    </row>
    <row r="4" spans="2:13" ht="57" x14ac:dyDescent="0.25">
      <c r="B4" s="19" t="s">
        <v>21</v>
      </c>
      <c r="C4" s="4" t="s">
        <v>25</v>
      </c>
      <c r="D4" s="7" t="s">
        <v>26</v>
      </c>
      <c r="E4" s="6" t="s">
        <v>5</v>
      </c>
      <c r="F4" s="8">
        <v>1</v>
      </c>
      <c r="G4" s="15" t="s">
        <v>6</v>
      </c>
      <c r="H4" s="16">
        <v>1</v>
      </c>
      <c r="I4" s="20" t="s">
        <v>15</v>
      </c>
      <c r="J4" s="6">
        <v>100</v>
      </c>
      <c r="K4" s="26" t="s">
        <v>72</v>
      </c>
      <c r="L4" s="32" t="s">
        <v>71</v>
      </c>
    </row>
    <row r="5" spans="2:13" x14ac:dyDescent="0.25">
      <c r="B5" s="19"/>
      <c r="C5" s="4" t="s">
        <v>23</v>
      </c>
      <c r="D5" s="7" t="s">
        <v>27</v>
      </c>
      <c r="E5" s="6"/>
      <c r="F5" s="8"/>
      <c r="G5" s="15"/>
      <c r="H5" s="16"/>
      <c r="I5" s="20" t="s">
        <v>16</v>
      </c>
      <c r="J5" s="6">
        <v>80</v>
      </c>
      <c r="K5" s="28"/>
      <c r="L5" s="33"/>
    </row>
    <row r="6" spans="2:13" x14ac:dyDescent="0.25">
      <c r="B6" s="19"/>
      <c r="C6" s="4" t="s">
        <v>24</v>
      </c>
      <c r="D6" s="4" t="s">
        <v>28</v>
      </c>
      <c r="E6" s="6"/>
      <c r="F6" s="8"/>
      <c r="G6" s="15"/>
      <c r="H6" s="16"/>
      <c r="I6" s="20" t="s">
        <v>17</v>
      </c>
      <c r="J6" s="6">
        <v>60</v>
      </c>
      <c r="K6" s="28"/>
      <c r="L6" s="33"/>
    </row>
    <row r="7" spans="2:13" x14ac:dyDescent="0.25">
      <c r="B7" s="19"/>
      <c r="C7" s="6"/>
      <c r="D7" s="6"/>
      <c r="E7" s="6"/>
      <c r="F7" s="8"/>
      <c r="G7" s="15"/>
      <c r="H7" s="16"/>
      <c r="I7" s="20" t="s">
        <v>18</v>
      </c>
      <c r="J7" s="6">
        <v>40</v>
      </c>
      <c r="K7" s="28"/>
      <c r="L7" s="33"/>
    </row>
    <row r="8" spans="2:13" x14ac:dyDescent="0.25">
      <c r="B8" s="19"/>
      <c r="C8" s="6"/>
      <c r="D8" s="6"/>
      <c r="E8" s="6"/>
      <c r="F8" s="8"/>
      <c r="G8" s="15"/>
      <c r="H8" s="16"/>
      <c r="I8" s="20" t="s">
        <v>19</v>
      </c>
      <c r="J8" s="6">
        <v>20</v>
      </c>
      <c r="K8" s="28"/>
      <c r="L8" s="33"/>
    </row>
    <row r="9" spans="2:13" x14ac:dyDescent="0.25">
      <c r="B9" s="19"/>
      <c r="C9" s="6"/>
      <c r="D9" s="6"/>
      <c r="E9" s="6"/>
      <c r="F9" s="8"/>
      <c r="G9" s="15"/>
      <c r="H9" s="16"/>
      <c r="I9" s="20"/>
      <c r="J9" s="6"/>
      <c r="K9" s="28"/>
      <c r="L9" s="33"/>
    </row>
    <row r="10" spans="2:13" ht="30" customHeight="1" x14ac:dyDescent="0.25">
      <c r="B10" s="19" t="s">
        <v>22</v>
      </c>
      <c r="C10" s="4" t="s">
        <v>29</v>
      </c>
      <c r="D10" s="7" t="s">
        <v>26</v>
      </c>
      <c r="E10" s="6" t="s">
        <v>7</v>
      </c>
      <c r="F10" s="8">
        <v>0.65</v>
      </c>
      <c r="G10" s="15" t="s">
        <v>8</v>
      </c>
      <c r="H10" s="16">
        <v>0.65</v>
      </c>
      <c r="I10" s="20" t="s">
        <v>32</v>
      </c>
      <c r="J10" s="7" t="s">
        <v>37</v>
      </c>
      <c r="K10" s="29" t="s">
        <v>70</v>
      </c>
      <c r="L10" s="32" t="s">
        <v>71</v>
      </c>
      <c r="M10" s="2"/>
    </row>
    <row r="11" spans="2:13" x14ac:dyDescent="0.25">
      <c r="B11" s="19"/>
      <c r="C11" s="4" t="s">
        <v>30</v>
      </c>
      <c r="D11" s="7" t="s">
        <v>27</v>
      </c>
      <c r="E11" s="6"/>
      <c r="F11" s="8"/>
      <c r="G11" s="15"/>
      <c r="H11" s="16"/>
      <c r="I11" s="20" t="s">
        <v>33</v>
      </c>
      <c r="J11" s="7" t="s">
        <v>36</v>
      </c>
      <c r="K11" s="29"/>
      <c r="L11" s="33"/>
      <c r="M11" s="2"/>
    </row>
    <row r="12" spans="2:13" x14ac:dyDescent="0.25">
      <c r="B12" s="19"/>
      <c r="C12" s="4" t="s">
        <v>31</v>
      </c>
      <c r="D12" s="4" t="s">
        <v>28</v>
      </c>
      <c r="E12" s="6"/>
      <c r="F12" s="8"/>
      <c r="G12" s="15"/>
      <c r="H12" s="16"/>
      <c r="I12" s="20" t="s">
        <v>34</v>
      </c>
      <c r="J12" s="4" t="s">
        <v>38</v>
      </c>
      <c r="K12" s="29"/>
      <c r="L12" s="33"/>
      <c r="M12" s="2"/>
    </row>
    <row r="13" spans="2:13" ht="43.5" x14ac:dyDescent="0.25">
      <c r="B13" s="19"/>
      <c r="C13" s="6"/>
      <c r="D13" s="6"/>
      <c r="E13" s="6" t="s">
        <v>9</v>
      </c>
      <c r="F13" s="8">
        <v>0.2</v>
      </c>
      <c r="G13" s="15" t="s">
        <v>10</v>
      </c>
      <c r="H13" s="16">
        <v>0.05</v>
      </c>
      <c r="I13" s="20" t="s">
        <v>40</v>
      </c>
      <c r="J13" s="6">
        <v>100</v>
      </c>
      <c r="K13" s="29" t="s">
        <v>98</v>
      </c>
      <c r="L13" s="32" t="s">
        <v>74</v>
      </c>
      <c r="M13" t="s">
        <v>67</v>
      </c>
    </row>
    <row r="14" spans="2:13" x14ac:dyDescent="0.25">
      <c r="B14" s="19"/>
      <c r="C14" s="6"/>
      <c r="D14" s="6"/>
      <c r="E14" s="6"/>
      <c r="F14" s="8"/>
      <c r="G14" s="15"/>
      <c r="H14" s="16"/>
      <c r="I14" s="20" t="s">
        <v>41</v>
      </c>
      <c r="J14" s="6">
        <v>90</v>
      </c>
      <c r="K14" s="28"/>
      <c r="L14" s="33"/>
    </row>
    <row r="15" spans="2:13" x14ac:dyDescent="0.25">
      <c r="B15" s="19"/>
      <c r="C15" s="6"/>
      <c r="D15" s="6"/>
      <c r="E15" s="6"/>
      <c r="F15" s="8"/>
      <c r="G15" s="15"/>
      <c r="H15" s="16"/>
      <c r="I15" s="20" t="s">
        <v>42</v>
      </c>
      <c r="J15" s="6">
        <v>80</v>
      </c>
      <c r="K15" s="28"/>
      <c r="L15" s="33"/>
    </row>
    <row r="16" spans="2:13" x14ac:dyDescent="0.25">
      <c r="B16" s="19"/>
      <c r="C16" s="6"/>
      <c r="D16" s="6"/>
      <c r="E16" s="6"/>
      <c r="F16" s="8"/>
      <c r="G16" s="15"/>
      <c r="H16" s="16"/>
      <c r="I16" s="20" t="s">
        <v>43</v>
      </c>
      <c r="J16" s="6">
        <v>70</v>
      </c>
      <c r="K16" s="28"/>
      <c r="L16" s="33"/>
      <c r="M16" t="s">
        <v>85</v>
      </c>
    </row>
    <row r="17" spans="2:16" x14ac:dyDescent="0.25">
      <c r="B17" s="19"/>
      <c r="C17" s="6"/>
      <c r="D17" s="6"/>
      <c r="E17" s="6"/>
      <c r="F17" s="8"/>
      <c r="G17" s="15"/>
      <c r="H17" s="16"/>
      <c r="I17" s="20" t="s">
        <v>44</v>
      </c>
      <c r="J17" s="6">
        <v>60</v>
      </c>
      <c r="K17" s="28"/>
      <c r="L17" s="33"/>
    </row>
    <row r="18" spans="2:16" ht="57.75" x14ac:dyDescent="0.25">
      <c r="B18" s="19"/>
      <c r="C18" s="6"/>
      <c r="D18" s="6"/>
      <c r="E18" s="6"/>
      <c r="F18" s="4"/>
      <c r="G18" s="15" t="s">
        <v>11</v>
      </c>
      <c r="H18" s="16">
        <v>0.05</v>
      </c>
      <c r="I18" s="21" t="s">
        <v>45</v>
      </c>
      <c r="J18" s="9">
        <v>100</v>
      </c>
      <c r="K18" s="29" t="s">
        <v>97</v>
      </c>
      <c r="L18" s="32" t="s">
        <v>74</v>
      </c>
      <c r="P18" s="13" t="s">
        <v>76</v>
      </c>
    </row>
    <row r="19" spans="2:16" ht="57" customHeight="1" x14ac:dyDescent="0.25">
      <c r="B19" s="19"/>
      <c r="C19" s="6"/>
      <c r="D19" s="6"/>
      <c r="E19" s="6"/>
      <c r="F19" s="4"/>
      <c r="G19" s="15"/>
      <c r="H19" s="16"/>
      <c r="I19" s="21" t="s">
        <v>52</v>
      </c>
      <c r="J19" s="9">
        <v>50</v>
      </c>
      <c r="K19" s="28"/>
      <c r="L19" s="33"/>
      <c r="M19" t="s">
        <v>85</v>
      </c>
    </row>
    <row r="20" spans="2:16" ht="64.5" customHeight="1" x14ac:dyDescent="0.25">
      <c r="B20" s="19"/>
      <c r="C20" s="6"/>
      <c r="D20" s="6"/>
      <c r="E20" s="6"/>
      <c r="F20" s="4"/>
      <c r="G20" s="15" t="s">
        <v>51</v>
      </c>
      <c r="H20" s="16">
        <v>0.05</v>
      </c>
      <c r="I20" s="21" t="s">
        <v>53</v>
      </c>
      <c r="J20" s="9">
        <v>100</v>
      </c>
      <c r="K20" s="35" t="s">
        <v>99</v>
      </c>
      <c r="L20" s="32" t="s">
        <v>74</v>
      </c>
    </row>
    <row r="21" spans="2:16" ht="63" customHeight="1" x14ac:dyDescent="0.25">
      <c r="B21" s="19"/>
      <c r="C21" s="6"/>
      <c r="D21" s="6"/>
      <c r="E21" s="6"/>
      <c r="F21" s="4"/>
      <c r="G21" s="15"/>
      <c r="H21" s="16"/>
      <c r="I21" s="21" t="s">
        <v>54</v>
      </c>
      <c r="J21" s="9">
        <v>50</v>
      </c>
      <c r="K21" s="25"/>
      <c r="L21" s="27"/>
      <c r="M21" s="13" t="s">
        <v>77</v>
      </c>
    </row>
    <row r="22" spans="2:16" ht="24.6" customHeight="1" x14ac:dyDescent="0.25">
      <c r="B22" s="19"/>
      <c r="C22" s="6"/>
      <c r="D22" s="6"/>
      <c r="E22" s="6"/>
      <c r="F22" s="4"/>
      <c r="G22" s="15" t="s">
        <v>63</v>
      </c>
      <c r="H22" s="16">
        <v>0.05</v>
      </c>
      <c r="I22" s="100" t="s">
        <v>55</v>
      </c>
      <c r="J22" s="100"/>
      <c r="K22" s="27" t="s">
        <v>100</v>
      </c>
      <c r="L22" s="32" t="s">
        <v>74</v>
      </c>
    </row>
    <row r="23" spans="2:16" ht="85.15" customHeight="1" x14ac:dyDescent="0.25">
      <c r="B23" s="19"/>
      <c r="C23" s="6"/>
      <c r="D23" s="6"/>
      <c r="E23" s="6"/>
      <c r="F23" s="4"/>
      <c r="G23" s="15"/>
      <c r="H23" s="15"/>
      <c r="I23" s="11" t="s">
        <v>56</v>
      </c>
      <c r="J23" s="9">
        <v>100</v>
      </c>
      <c r="K23" s="25"/>
      <c r="L23" s="107" t="s">
        <v>102</v>
      </c>
    </row>
    <row r="24" spans="2:16" ht="72" customHeight="1" x14ac:dyDescent="0.25">
      <c r="B24" s="19"/>
      <c r="C24" s="6"/>
      <c r="D24" s="6"/>
      <c r="E24" s="6"/>
      <c r="F24" s="4"/>
      <c r="G24" s="15"/>
      <c r="H24" s="16"/>
      <c r="I24" s="11" t="s">
        <v>57</v>
      </c>
      <c r="J24" s="9">
        <v>80</v>
      </c>
      <c r="K24" s="25"/>
      <c r="L24" s="108"/>
    </row>
    <row r="25" spans="2:16" ht="92.45" customHeight="1" x14ac:dyDescent="0.25">
      <c r="B25" s="19"/>
      <c r="C25" s="6"/>
      <c r="D25" s="6"/>
      <c r="E25" s="6"/>
      <c r="F25" s="4"/>
      <c r="G25" s="15"/>
      <c r="H25" s="16"/>
      <c r="I25" s="11" t="s">
        <v>58</v>
      </c>
      <c r="J25" s="9">
        <v>60</v>
      </c>
      <c r="K25" s="25"/>
      <c r="L25" s="109"/>
    </row>
    <row r="26" spans="2:16" ht="25.15" customHeight="1" x14ac:dyDescent="0.25">
      <c r="B26" s="19"/>
      <c r="C26" s="6"/>
      <c r="D26" s="6"/>
      <c r="E26" s="6"/>
      <c r="F26" s="4"/>
      <c r="G26" s="15"/>
      <c r="H26" s="16"/>
      <c r="I26" s="100" t="s">
        <v>59</v>
      </c>
      <c r="J26" s="100"/>
      <c r="K26" s="25"/>
      <c r="L26" s="27"/>
      <c r="M26" t="s">
        <v>81</v>
      </c>
    </row>
    <row r="27" spans="2:16" ht="44.25" customHeight="1" x14ac:dyDescent="0.25">
      <c r="B27" s="19"/>
      <c r="C27" s="6"/>
      <c r="D27" s="6"/>
      <c r="E27" s="6"/>
      <c r="F27" s="4"/>
      <c r="G27" s="15"/>
      <c r="H27" s="16"/>
      <c r="I27" s="22" t="s">
        <v>82</v>
      </c>
      <c r="J27" s="9">
        <v>100</v>
      </c>
      <c r="K27" s="25"/>
      <c r="L27" s="104" t="s">
        <v>86</v>
      </c>
    </row>
    <row r="28" spans="2:16" ht="45" x14ac:dyDescent="0.25">
      <c r="B28" s="19"/>
      <c r="C28" s="6"/>
      <c r="D28" s="6"/>
      <c r="E28" s="6"/>
      <c r="F28" s="4"/>
      <c r="G28" s="15"/>
      <c r="H28" s="16"/>
      <c r="I28" s="22" t="s">
        <v>83</v>
      </c>
      <c r="J28" s="9">
        <v>80</v>
      </c>
      <c r="K28" s="25"/>
      <c r="L28" s="105"/>
    </row>
    <row r="29" spans="2:16" ht="30.75" customHeight="1" x14ac:dyDescent="0.25">
      <c r="B29" s="19"/>
      <c r="C29" s="6"/>
      <c r="D29" s="6"/>
      <c r="E29" s="6"/>
      <c r="F29" s="4"/>
      <c r="G29" s="15"/>
      <c r="H29" s="16"/>
      <c r="I29" s="22" t="s">
        <v>62</v>
      </c>
      <c r="J29" s="9">
        <v>60</v>
      </c>
      <c r="K29" s="25"/>
      <c r="L29" s="106"/>
    </row>
    <row r="30" spans="2:16" ht="30.75" customHeight="1" x14ac:dyDescent="0.25">
      <c r="B30" s="19"/>
      <c r="C30" s="6"/>
      <c r="D30" s="6"/>
      <c r="E30" s="6"/>
      <c r="F30" s="4"/>
      <c r="G30" s="15"/>
      <c r="H30" s="16"/>
      <c r="I30" s="100" t="s">
        <v>64</v>
      </c>
      <c r="J30" s="100"/>
      <c r="K30" s="25"/>
      <c r="L30" s="27"/>
    </row>
    <row r="31" spans="2:16" ht="43.9" customHeight="1" x14ac:dyDescent="0.25">
      <c r="B31" s="19"/>
      <c r="C31" s="6"/>
      <c r="D31" s="6"/>
      <c r="E31" s="6"/>
      <c r="F31" s="4"/>
      <c r="G31" s="15"/>
      <c r="H31" s="16"/>
      <c r="I31" s="11" t="s">
        <v>88</v>
      </c>
      <c r="J31" s="9">
        <v>100</v>
      </c>
      <c r="K31" s="25"/>
      <c r="L31" s="27"/>
    </row>
    <row r="32" spans="2:16" ht="45" customHeight="1" x14ac:dyDescent="0.25">
      <c r="B32" s="19"/>
      <c r="C32" s="6"/>
      <c r="D32" s="6"/>
      <c r="E32" s="6"/>
      <c r="F32" s="4"/>
      <c r="G32" s="15"/>
      <c r="H32" s="16"/>
      <c r="I32" s="11" t="s">
        <v>89</v>
      </c>
      <c r="J32" s="9">
        <v>80</v>
      </c>
      <c r="K32" s="25"/>
      <c r="L32" s="27"/>
    </row>
    <row r="33" spans="2:13" ht="45.6" customHeight="1" x14ac:dyDescent="0.25">
      <c r="B33" s="19"/>
      <c r="C33" s="6"/>
      <c r="D33" s="6"/>
      <c r="E33" s="6"/>
      <c r="F33" s="4"/>
      <c r="G33" s="15"/>
      <c r="H33" s="16"/>
      <c r="I33" s="11" t="s">
        <v>90</v>
      </c>
      <c r="J33" s="9">
        <v>60</v>
      </c>
      <c r="K33" s="25"/>
      <c r="L33" s="27"/>
      <c r="M33" t="s">
        <v>80</v>
      </c>
    </row>
    <row r="34" spans="2:13" ht="45" x14ac:dyDescent="0.25">
      <c r="B34" s="19"/>
      <c r="C34" s="6"/>
      <c r="D34" s="6"/>
      <c r="E34" s="6"/>
      <c r="F34" s="4"/>
      <c r="G34" s="15"/>
      <c r="H34" s="16"/>
      <c r="I34" s="11" t="s">
        <v>91</v>
      </c>
      <c r="J34" s="9">
        <v>40</v>
      </c>
      <c r="K34" s="25"/>
      <c r="L34" s="27"/>
    </row>
    <row r="35" spans="2:13" ht="44.45" customHeight="1" x14ac:dyDescent="0.25">
      <c r="B35" s="19"/>
      <c r="C35" s="6"/>
      <c r="D35" s="6"/>
      <c r="E35" s="6"/>
      <c r="F35" s="4"/>
      <c r="G35" s="15"/>
      <c r="H35" s="16"/>
      <c r="I35" s="22" t="s">
        <v>92</v>
      </c>
      <c r="J35" s="9">
        <v>0</v>
      </c>
      <c r="K35" s="25"/>
      <c r="L35" s="27"/>
    </row>
    <row r="36" spans="2:13" ht="30" x14ac:dyDescent="0.25">
      <c r="B36" s="19"/>
      <c r="C36" s="6"/>
      <c r="D36" s="6"/>
      <c r="E36" s="6" t="s">
        <v>12</v>
      </c>
      <c r="F36" s="8">
        <v>0.15</v>
      </c>
      <c r="G36" s="15" t="s">
        <v>13</v>
      </c>
      <c r="H36" s="16">
        <v>0.15</v>
      </c>
      <c r="I36" s="21" t="s">
        <v>46</v>
      </c>
      <c r="J36" s="6">
        <v>100</v>
      </c>
      <c r="K36" s="25"/>
      <c r="L36" s="27" t="s">
        <v>79</v>
      </c>
    </row>
    <row r="37" spans="2:13" x14ac:dyDescent="0.25">
      <c r="B37" s="19"/>
      <c r="C37" s="6"/>
      <c r="D37" s="6"/>
      <c r="E37" s="6"/>
      <c r="F37" s="6"/>
      <c r="G37" s="15"/>
      <c r="H37" s="17"/>
      <c r="I37" s="21" t="s">
        <v>47</v>
      </c>
      <c r="J37" s="6">
        <v>75</v>
      </c>
      <c r="K37" s="25"/>
      <c r="L37" s="27"/>
    </row>
    <row r="38" spans="2:13" x14ac:dyDescent="0.25">
      <c r="B38" s="19"/>
      <c r="C38" s="6"/>
      <c r="D38" s="6" t="s">
        <v>35</v>
      </c>
      <c r="E38" s="6"/>
      <c r="F38" s="6"/>
      <c r="G38" s="15"/>
      <c r="H38" s="15"/>
      <c r="I38" s="21" t="s">
        <v>48</v>
      </c>
      <c r="J38" s="6">
        <v>50</v>
      </c>
      <c r="K38" s="25"/>
      <c r="L38" s="27"/>
    </row>
    <row r="39" spans="2:13" x14ac:dyDescent="0.25">
      <c r="B39" s="19"/>
      <c r="C39" s="6"/>
      <c r="D39" s="6"/>
      <c r="E39" s="6"/>
      <c r="F39" s="6"/>
      <c r="G39" s="15"/>
      <c r="H39" s="15"/>
      <c r="I39" s="21" t="s">
        <v>49</v>
      </c>
      <c r="J39" s="6">
        <v>25</v>
      </c>
      <c r="K39" s="25"/>
      <c r="L39" s="27"/>
    </row>
    <row r="40" spans="2:13" x14ac:dyDescent="0.25">
      <c r="B40" s="19"/>
      <c r="C40" s="6"/>
      <c r="D40" s="6"/>
      <c r="E40" s="6"/>
      <c r="F40" s="6"/>
      <c r="G40" s="15"/>
      <c r="H40" s="15"/>
      <c r="I40" s="21" t="s">
        <v>50</v>
      </c>
      <c r="J40" s="6">
        <v>0</v>
      </c>
      <c r="K40" s="25"/>
      <c r="L40" s="27"/>
    </row>
    <row r="41" spans="2:13" x14ac:dyDescent="0.25">
      <c r="H41" s="18"/>
    </row>
    <row r="42" spans="2:13" x14ac:dyDescent="0.25">
      <c r="I42" s="13" t="s">
        <v>101</v>
      </c>
    </row>
  </sheetData>
  <mergeCells count="9">
    <mergeCell ref="I26:J26"/>
    <mergeCell ref="L27:L29"/>
    <mergeCell ref="I30:J30"/>
    <mergeCell ref="B1:L1"/>
    <mergeCell ref="B2:L2"/>
    <mergeCell ref="C3:D3"/>
    <mergeCell ref="I3:J3"/>
    <mergeCell ref="I22:J22"/>
    <mergeCell ref="L23:L25"/>
  </mergeCells>
  <hyperlinks>
    <hyperlink ref="L10" r:id="rId1" xr:uid="{A533FC6C-DA57-4E31-B170-7725A8238323}"/>
    <hyperlink ref="L13" r:id="rId2" xr:uid="{814ED908-ACE6-4E91-B174-40F357920A23}"/>
    <hyperlink ref="L18" r:id="rId3" xr:uid="{CB625172-2467-4146-A3F2-568FE3F7B5AE}"/>
    <hyperlink ref="L20" r:id="rId4" xr:uid="{483A0CF5-7348-46EC-9C06-C6DF4570752F}"/>
    <hyperlink ref="L22" r:id="rId5" xr:uid="{346355C6-8AEC-4525-AC23-6EDF8D04C37A}"/>
    <hyperlink ref="L4" r:id="rId6" xr:uid="{A9E2640C-3A03-40D3-ABED-2848DE28D05B}"/>
  </hyperlinks>
  <pageMargins left="0.11811023622047245" right="0.11811023622047245" top="0.35433070866141736" bottom="0.15748031496062992" header="0.31496062992125984" footer="0.31496062992125984"/>
  <pageSetup paperSize="9" scale="71" orientation="landscape" r:id="rId7"/>
  <rowBreaks count="1" manualBreakCount="1">
    <brk id="21" max="1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F7EB-8C2C-4CB4-A58D-A1850F769A0D}">
  <dimension ref="B1:I26"/>
  <sheetViews>
    <sheetView tabSelected="1" zoomScale="85" zoomScaleNormal="85" workbookViewId="0">
      <selection activeCell="F7" sqref="F7"/>
    </sheetView>
  </sheetViews>
  <sheetFormatPr defaultRowHeight="15" x14ac:dyDescent="0.25"/>
  <cols>
    <col min="1" max="1" width="4.5703125" customWidth="1"/>
    <col min="2" max="2" width="4" style="39" bestFit="1" customWidth="1"/>
    <col min="3" max="3" width="26.7109375" style="39" customWidth="1"/>
    <col min="4" max="4" width="12" style="39" bestFit="1" customWidth="1"/>
    <col min="5" max="5" width="49.85546875" style="39" customWidth="1"/>
    <col min="6" max="6" width="65.42578125" style="1" customWidth="1"/>
    <col min="7" max="7" width="64.85546875" style="39" customWidth="1"/>
    <col min="8" max="8" width="11.85546875" style="39" customWidth="1"/>
    <col min="9" max="9" width="38.5703125" customWidth="1"/>
  </cols>
  <sheetData>
    <row r="1" spans="2:9" x14ac:dyDescent="0.25">
      <c r="G1" s="39" t="s">
        <v>125</v>
      </c>
    </row>
    <row r="2" spans="2:9" ht="15.75" x14ac:dyDescent="0.25">
      <c r="B2" s="42" t="s">
        <v>103</v>
      </c>
      <c r="C2" s="42" t="s">
        <v>104</v>
      </c>
      <c r="D2" s="42" t="s">
        <v>105</v>
      </c>
      <c r="E2" s="42" t="s">
        <v>124</v>
      </c>
      <c r="F2" s="43" t="s">
        <v>106</v>
      </c>
      <c r="G2" s="42" t="s">
        <v>107</v>
      </c>
      <c r="H2" s="42" t="s">
        <v>108</v>
      </c>
      <c r="I2" s="42" t="s">
        <v>127</v>
      </c>
    </row>
    <row r="3" spans="2:9" ht="60" x14ac:dyDescent="0.25">
      <c r="B3" s="39">
        <v>1</v>
      </c>
      <c r="C3" s="41" t="s">
        <v>114</v>
      </c>
      <c r="D3" s="39" t="s">
        <v>118</v>
      </c>
      <c r="E3" s="14" t="s">
        <v>142</v>
      </c>
      <c r="F3" s="41" t="s">
        <v>119</v>
      </c>
      <c r="G3" s="14" t="s">
        <v>128</v>
      </c>
      <c r="H3" s="39" t="s">
        <v>121</v>
      </c>
    </row>
    <row r="4" spans="2:9" ht="75" x14ac:dyDescent="0.25">
      <c r="B4" s="39">
        <v>2</v>
      </c>
      <c r="C4" s="41" t="s">
        <v>109</v>
      </c>
      <c r="D4" s="39" t="s">
        <v>117</v>
      </c>
      <c r="E4" s="14" t="s">
        <v>142</v>
      </c>
      <c r="F4" s="41" t="s">
        <v>120</v>
      </c>
      <c r="G4" s="14" t="s">
        <v>129</v>
      </c>
      <c r="H4" s="39" t="s">
        <v>122</v>
      </c>
    </row>
    <row r="5" spans="2:9" ht="75" x14ac:dyDescent="0.25">
      <c r="B5" s="39">
        <v>3</v>
      </c>
      <c r="C5" s="41" t="s">
        <v>110</v>
      </c>
      <c r="D5" s="39" t="s">
        <v>117</v>
      </c>
      <c r="E5" s="14" t="s">
        <v>142</v>
      </c>
      <c r="F5" s="41" t="s">
        <v>120</v>
      </c>
      <c r="G5" s="14" t="s">
        <v>129</v>
      </c>
      <c r="H5" s="39" t="s">
        <v>122</v>
      </c>
    </row>
    <row r="6" spans="2:9" ht="75" x14ac:dyDescent="0.25">
      <c r="B6" s="39">
        <v>4</v>
      </c>
      <c r="C6" s="41" t="s">
        <v>111</v>
      </c>
      <c r="D6" s="39" t="s">
        <v>117</v>
      </c>
      <c r="E6" s="14" t="s">
        <v>142</v>
      </c>
      <c r="F6" s="41" t="s">
        <v>120</v>
      </c>
      <c r="G6" s="14" t="s">
        <v>129</v>
      </c>
      <c r="H6" s="39" t="s">
        <v>122</v>
      </c>
    </row>
    <row r="7" spans="2:9" ht="75" x14ac:dyDescent="0.25">
      <c r="B7" s="39">
        <v>5</v>
      </c>
      <c r="C7" s="41" t="s">
        <v>112</v>
      </c>
      <c r="D7" s="39" t="s">
        <v>117</v>
      </c>
      <c r="E7" s="14" t="s">
        <v>142</v>
      </c>
      <c r="F7" s="41" t="s">
        <v>120</v>
      </c>
      <c r="G7" s="14" t="s">
        <v>129</v>
      </c>
      <c r="H7" s="39" t="s">
        <v>122</v>
      </c>
    </row>
    <row r="8" spans="2:9" ht="90" x14ac:dyDescent="0.25">
      <c r="B8" s="39">
        <v>6</v>
      </c>
      <c r="C8" s="41" t="s">
        <v>113</v>
      </c>
      <c r="D8" s="39" t="s">
        <v>117</v>
      </c>
      <c r="E8" s="14" t="s">
        <v>142</v>
      </c>
      <c r="F8" s="41" t="s">
        <v>123</v>
      </c>
      <c r="G8" s="14" t="s">
        <v>126</v>
      </c>
      <c r="H8" s="39" t="s">
        <v>140</v>
      </c>
      <c r="I8" s="44" t="s">
        <v>130</v>
      </c>
    </row>
    <row r="9" spans="2:9" ht="75" x14ac:dyDescent="0.25">
      <c r="B9" s="39">
        <v>7</v>
      </c>
      <c r="C9" s="41" t="s">
        <v>115</v>
      </c>
      <c r="D9" s="39" t="s">
        <v>117</v>
      </c>
      <c r="E9" s="14" t="s">
        <v>142</v>
      </c>
      <c r="F9" s="41" t="s">
        <v>120</v>
      </c>
      <c r="G9" s="14" t="s">
        <v>129</v>
      </c>
      <c r="H9" s="39" t="s">
        <v>122</v>
      </c>
    </row>
    <row r="10" spans="2:9" ht="90" x14ac:dyDescent="0.25">
      <c r="B10" s="39">
        <v>8</v>
      </c>
      <c r="C10" s="41" t="s">
        <v>116</v>
      </c>
      <c r="D10" s="39" t="s">
        <v>117</v>
      </c>
      <c r="E10" s="14" t="s">
        <v>142</v>
      </c>
      <c r="F10" s="41" t="s">
        <v>123</v>
      </c>
      <c r="G10" s="14" t="s">
        <v>126</v>
      </c>
      <c r="H10" s="39" t="s">
        <v>140</v>
      </c>
      <c r="I10" s="44" t="s">
        <v>130</v>
      </c>
    </row>
    <row r="11" spans="2:9" x14ac:dyDescent="0.25">
      <c r="B11" s="39">
        <v>9</v>
      </c>
      <c r="F11" s="40"/>
    </row>
    <row r="12" spans="2:9" x14ac:dyDescent="0.25">
      <c r="B12" s="39">
        <v>10</v>
      </c>
      <c r="F12" s="40"/>
    </row>
    <row r="13" spans="2:9" x14ac:dyDescent="0.25">
      <c r="B13" s="39">
        <v>11</v>
      </c>
      <c r="F13" s="40"/>
    </row>
    <row r="14" spans="2:9" x14ac:dyDescent="0.25">
      <c r="B14" s="39">
        <v>12</v>
      </c>
      <c r="F14" s="40"/>
    </row>
    <row r="15" spans="2:9" x14ac:dyDescent="0.25">
      <c r="B15" s="39">
        <v>13</v>
      </c>
      <c r="F15" s="40"/>
    </row>
    <row r="16" spans="2:9" x14ac:dyDescent="0.25">
      <c r="B16" s="39">
        <v>14</v>
      </c>
      <c r="F16" s="40"/>
    </row>
    <row r="17" spans="2:6" x14ac:dyDescent="0.25">
      <c r="B17" s="39">
        <v>15</v>
      </c>
      <c r="F17" s="40"/>
    </row>
    <row r="18" spans="2:6" x14ac:dyDescent="0.25">
      <c r="B18" s="39">
        <v>16</v>
      </c>
      <c r="F18" s="40"/>
    </row>
    <row r="19" spans="2:6" x14ac:dyDescent="0.25">
      <c r="B19" s="39">
        <v>17</v>
      </c>
      <c r="F19" s="40"/>
    </row>
    <row r="20" spans="2:6" x14ac:dyDescent="0.25">
      <c r="F20" s="40"/>
    </row>
    <row r="21" spans="2:6" x14ac:dyDescent="0.25">
      <c r="F21" s="40"/>
    </row>
    <row r="22" spans="2:6" x14ac:dyDescent="0.25">
      <c r="F22" s="40"/>
    </row>
    <row r="23" spans="2:6" x14ac:dyDescent="0.25">
      <c r="F23" s="40"/>
    </row>
    <row r="24" spans="2:6" x14ac:dyDescent="0.25">
      <c r="F24" s="40"/>
    </row>
    <row r="25" spans="2:6" x14ac:dyDescent="0.25">
      <c r="F25" s="40"/>
    </row>
    <row r="26" spans="2:6" x14ac:dyDescent="0.25">
      <c r="F26" s="4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90BD-B842-409C-998B-E6939C1333A4}">
  <sheetPr>
    <pageSetUpPr fitToPage="1"/>
  </sheetPr>
  <dimension ref="B1:P67"/>
  <sheetViews>
    <sheetView topLeftCell="H13" zoomScale="70" zoomScaleNormal="70" workbookViewId="0">
      <selection activeCell="P22" sqref="P22:P25"/>
    </sheetView>
  </sheetViews>
  <sheetFormatPr defaultRowHeight="15" x14ac:dyDescent="0.25"/>
  <cols>
    <col min="1" max="1" width="1.7109375" customWidth="1"/>
    <col min="2" max="2" width="17" style="3" customWidth="1"/>
    <col min="3" max="3" width="20" style="1" customWidth="1"/>
    <col min="4" max="4" width="12.28515625" style="1" customWidth="1"/>
    <col min="5" max="5" width="20.85546875" style="1" customWidth="1"/>
    <col min="6" max="6" width="11.28515625" style="1" customWidth="1"/>
    <col min="7" max="7" width="22.28515625" style="14" customWidth="1"/>
    <col min="8" max="8" width="10.28515625" style="14" customWidth="1"/>
    <col min="9" max="9" width="47.7109375" style="13" bestFit="1" customWidth="1"/>
    <col min="10" max="10" width="14.5703125" style="1" customWidth="1"/>
    <col min="11" max="11" width="18.85546875" style="23" customWidth="1"/>
    <col min="12" max="12" width="43" style="75" bestFit="1" customWidth="1"/>
    <col min="13" max="13" width="43" style="75" customWidth="1"/>
    <col min="14" max="14" width="41.7109375" style="75" bestFit="1" customWidth="1"/>
    <col min="15" max="15" width="41.7109375" style="75" customWidth="1"/>
    <col min="16" max="16" width="18.85546875" style="75" customWidth="1"/>
  </cols>
  <sheetData>
    <row r="1" spans="2:16" ht="21" x14ac:dyDescent="0.35">
      <c r="B1" s="82" t="s">
        <v>14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2:16" ht="15.75" x14ac:dyDescent="0.25">
      <c r="B2" s="83" t="s">
        <v>84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</row>
    <row r="3" spans="2:16" s="13" customFormat="1" ht="27.75" customHeight="1" x14ac:dyDescent="0.25">
      <c r="B3" s="12" t="s">
        <v>0</v>
      </c>
      <c r="C3" s="84" t="s">
        <v>20</v>
      </c>
      <c r="D3" s="84"/>
      <c r="E3" s="5" t="s">
        <v>1</v>
      </c>
      <c r="F3" s="12" t="s">
        <v>2</v>
      </c>
      <c r="G3" s="12" t="s">
        <v>3</v>
      </c>
      <c r="H3" s="12" t="s">
        <v>4</v>
      </c>
      <c r="I3" s="84" t="s">
        <v>20</v>
      </c>
      <c r="J3" s="84"/>
      <c r="K3" s="24" t="s">
        <v>68</v>
      </c>
      <c r="L3" s="24" t="s">
        <v>131</v>
      </c>
      <c r="M3" s="24" t="s">
        <v>135</v>
      </c>
      <c r="N3" s="24" t="s">
        <v>132</v>
      </c>
      <c r="O3" s="24" t="s">
        <v>135</v>
      </c>
      <c r="P3" s="24"/>
    </row>
    <row r="4" spans="2:16" ht="57" x14ac:dyDescent="0.25">
      <c r="B4" s="19" t="s">
        <v>21</v>
      </c>
      <c r="C4" s="4" t="s">
        <v>25</v>
      </c>
      <c r="D4" s="7" t="s">
        <v>26</v>
      </c>
      <c r="E4" s="6" t="s">
        <v>5</v>
      </c>
      <c r="F4" s="8">
        <v>1</v>
      </c>
      <c r="G4" s="15" t="s">
        <v>6</v>
      </c>
      <c r="H4" s="49">
        <v>1</v>
      </c>
      <c r="I4" s="50" t="s">
        <v>15</v>
      </c>
      <c r="J4" s="51">
        <v>100</v>
      </c>
      <c r="K4" s="45" t="s">
        <v>72</v>
      </c>
      <c r="L4" s="69"/>
      <c r="M4" s="69"/>
      <c r="N4" s="71">
        <v>100</v>
      </c>
      <c r="O4" s="71">
        <f>100</f>
        <v>100</v>
      </c>
      <c r="P4" s="86"/>
    </row>
    <row r="5" spans="2:16" x14ac:dyDescent="0.25">
      <c r="B5" s="19"/>
      <c r="C5" s="4" t="s">
        <v>23</v>
      </c>
      <c r="D5" s="7" t="s">
        <v>27</v>
      </c>
      <c r="E5" s="6"/>
      <c r="F5" s="8"/>
      <c r="G5" s="15"/>
      <c r="H5" s="49"/>
      <c r="I5" s="50" t="s">
        <v>16</v>
      </c>
      <c r="J5" s="51">
        <v>80</v>
      </c>
      <c r="K5" s="46"/>
      <c r="L5" s="71">
        <v>80</v>
      </c>
      <c r="M5" s="71">
        <v>80</v>
      </c>
      <c r="N5" s="72"/>
      <c r="O5" s="72"/>
      <c r="P5" s="87"/>
    </row>
    <row r="6" spans="2:16" x14ac:dyDescent="0.25">
      <c r="B6" s="19"/>
      <c r="C6" s="4" t="s">
        <v>24</v>
      </c>
      <c r="D6" s="4" t="s">
        <v>28</v>
      </c>
      <c r="E6" s="6"/>
      <c r="F6" s="8"/>
      <c r="G6" s="15"/>
      <c r="H6" s="49"/>
      <c r="I6" s="50" t="s">
        <v>17</v>
      </c>
      <c r="J6" s="51">
        <v>60</v>
      </c>
      <c r="K6" s="46"/>
      <c r="L6" s="72"/>
      <c r="M6" s="72"/>
      <c r="N6" s="72"/>
      <c r="O6" s="72"/>
      <c r="P6" s="87"/>
    </row>
    <row r="7" spans="2:16" x14ac:dyDescent="0.25">
      <c r="B7" s="19"/>
      <c r="C7" s="6"/>
      <c r="D7" s="6"/>
      <c r="E7" s="6"/>
      <c r="F7" s="8"/>
      <c r="G7" s="15"/>
      <c r="H7" s="49"/>
      <c r="I7" s="50" t="s">
        <v>18</v>
      </c>
      <c r="J7" s="51">
        <v>40</v>
      </c>
      <c r="K7" s="46"/>
      <c r="L7" s="72"/>
      <c r="M7" s="72"/>
      <c r="N7" s="72"/>
      <c r="O7" s="72"/>
      <c r="P7" s="87"/>
    </row>
    <row r="8" spans="2:16" x14ac:dyDescent="0.25">
      <c r="B8" s="19"/>
      <c r="C8" s="6"/>
      <c r="D8" s="6"/>
      <c r="E8" s="6"/>
      <c r="F8" s="8"/>
      <c r="G8" s="15"/>
      <c r="H8" s="49"/>
      <c r="I8" s="50" t="s">
        <v>19</v>
      </c>
      <c r="J8" s="51">
        <v>20</v>
      </c>
      <c r="K8" s="46"/>
      <c r="L8" s="72"/>
      <c r="M8" s="72"/>
      <c r="N8" s="72"/>
      <c r="O8" s="72"/>
      <c r="P8" s="87"/>
    </row>
    <row r="9" spans="2:16" x14ac:dyDescent="0.25">
      <c r="B9" s="19"/>
      <c r="C9" s="6"/>
      <c r="D9" s="6"/>
      <c r="E9" s="6"/>
      <c r="F9" s="8"/>
      <c r="G9" s="15"/>
      <c r="H9" s="49"/>
      <c r="I9" s="50"/>
      <c r="J9" s="51"/>
      <c r="K9" s="46"/>
      <c r="L9" s="72"/>
      <c r="M9" s="72"/>
      <c r="N9" s="72"/>
      <c r="O9" s="72"/>
      <c r="P9" s="88"/>
    </row>
    <row r="10" spans="2:16" ht="30" customHeight="1" x14ac:dyDescent="0.25">
      <c r="B10" s="19" t="s">
        <v>22</v>
      </c>
      <c r="C10" s="4" t="s">
        <v>29</v>
      </c>
      <c r="D10" s="7" t="s">
        <v>26</v>
      </c>
      <c r="E10" s="6" t="s">
        <v>7</v>
      </c>
      <c r="F10" s="8">
        <v>0.65</v>
      </c>
      <c r="G10" s="15" t="s">
        <v>8</v>
      </c>
      <c r="H10" s="52">
        <v>0.65</v>
      </c>
      <c r="I10" s="53" t="s">
        <v>32</v>
      </c>
      <c r="J10" s="54" t="s">
        <v>37</v>
      </c>
      <c r="K10" s="55" t="s">
        <v>70</v>
      </c>
      <c r="L10" s="70">
        <v>93.47</v>
      </c>
      <c r="M10" s="70">
        <f>65%*L10</f>
        <v>60.755499999999998</v>
      </c>
      <c r="N10" s="70"/>
      <c r="O10" s="70"/>
      <c r="P10" s="89"/>
    </row>
    <row r="11" spans="2:16" x14ac:dyDescent="0.25">
      <c r="B11" s="19"/>
      <c r="C11" s="4" t="s">
        <v>30</v>
      </c>
      <c r="D11" s="7" t="s">
        <v>27</v>
      </c>
      <c r="E11" s="6"/>
      <c r="F11" s="8"/>
      <c r="G11" s="15"/>
      <c r="H11" s="52"/>
      <c r="I11" s="53" t="s">
        <v>33</v>
      </c>
      <c r="J11" s="54" t="s">
        <v>36</v>
      </c>
      <c r="K11" s="55"/>
      <c r="L11" s="70"/>
      <c r="M11" s="70"/>
      <c r="N11" s="70">
        <v>76.040000000000006</v>
      </c>
      <c r="O11" s="70">
        <f>65%*N11</f>
        <v>49.426000000000009</v>
      </c>
      <c r="P11" s="90"/>
    </row>
    <row r="12" spans="2:16" x14ac:dyDescent="0.25">
      <c r="B12" s="19"/>
      <c r="C12" s="4" t="s">
        <v>31</v>
      </c>
      <c r="D12" s="4" t="s">
        <v>28</v>
      </c>
      <c r="E12" s="6"/>
      <c r="F12" s="8"/>
      <c r="G12" s="15"/>
      <c r="H12" s="52"/>
      <c r="I12" s="53" t="s">
        <v>34</v>
      </c>
      <c r="J12" s="56" t="s">
        <v>38</v>
      </c>
      <c r="K12" s="55"/>
      <c r="L12" s="70"/>
      <c r="M12" s="70"/>
      <c r="N12" s="70"/>
      <c r="O12" s="70"/>
      <c r="P12" s="91"/>
    </row>
    <row r="13" spans="2:16" ht="30" x14ac:dyDescent="0.25">
      <c r="B13" s="19"/>
      <c r="C13" s="6"/>
      <c r="D13" s="6"/>
      <c r="E13" s="6" t="s">
        <v>9</v>
      </c>
      <c r="F13" s="8">
        <v>0.2</v>
      </c>
      <c r="G13" s="15" t="s">
        <v>10</v>
      </c>
      <c r="H13" s="49">
        <v>0.05</v>
      </c>
      <c r="I13" s="50" t="s">
        <v>40</v>
      </c>
      <c r="J13" s="51">
        <v>100</v>
      </c>
      <c r="K13" s="46" t="s">
        <v>73</v>
      </c>
      <c r="L13" s="72"/>
      <c r="M13" s="72"/>
      <c r="N13" s="72"/>
      <c r="O13" s="72"/>
      <c r="P13" s="92"/>
    </row>
    <row r="14" spans="2:16" x14ac:dyDescent="0.25">
      <c r="B14" s="19"/>
      <c r="C14" s="6"/>
      <c r="D14" s="6"/>
      <c r="E14" s="6"/>
      <c r="F14" s="8"/>
      <c r="G14" s="15"/>
      <c r="H14" s="49"/>
      <c r="I14" s="50" t="s">
        <v>41</v>
      </c>
      <c r="J14" s="51">
        <v>90</v>
      </c>
      <c r="K14" s="46"/>
      <c r="L14" s="72">
        <v>90</v>
      </c>
      <c r="M14" s="72">
        <f>5%*L14</f>
        <v>4.5</v>
      </c>
      <c r="N14" s="72">
        <v>90</v>
      </c>
      <c r="O14" s="72">
        <f>5%*N14</f>
        <v>4.5</v>
      </c>
      <c r="P14" s="93"/>
    </row>
    <row r="15" spans="2:16" x14ac:dyDescent="0.25">
      <c r="B15" s="19"/>
      <c r="C15" s="6"/>
      <c r="D15" s="6"/>
      <c r="E15" s="6"/>
      <c r="F15" s="8"/>
      <c r="G15" s="15"/>
      <c r="H15" s="49"/>
      <c r="I15" s="50" t="s">
        <v>42</v>
      </c>
      <c r="J15" s="51">
        <v>80</v>
      </c>
      <c r="K15" s="46"/>
      <c r="L15" s="72"/>
      <c r="M15" s="72"/>
      <c r="N15" s="72"/>
      <c r="O15" s="72"/>
      <c r="P15" s="93"/>
    </row>
    <row r="16" spans="2:16" x14ac:dyDescent="0.25">
      <c r="B16" s="19"/>
      <c r="C16" s="6"/>
      <c r="D16" s="6"/>
      <c r="E16" s="6"/>
      <c r="F16" s="8"/>
      <c r="G16" s="15"/>
      <c r="H16" s="49"/>
      <c r="I16" s="50" t="s">
        <v>43</v>
      </c>
      <c r="J16" s="51">
        <v>70</v>
      </c>
      <c r="K16" s="46"/>
      <c r="L16" s="72"/>
      <c r="M16" s="72"/>
      <c r="N16" s="72"/>
      <c r="O16" s="72"/>
      <c r="P16" s="93"/>
    </row>
    <row r="17" spans="2:16" x14ac:dyDescent="0.25">
      <c r="B17" s="19"/>
      <c r="C17" s="6"/>
      <c r="D17" s="6"/>
      <c r="E17" s="6"/>
      <c r="F17" s="8"/>
      <c r="G17" s="15"/>
      <c r="H17" s="49"/>
      <c r="I17" s="50" t="s">
        <v>44</v>
      </c>
      <c r="J17" s="51">
        <v>60</v>
      </c>
      <c r="K17" s="46"/>
      <c r="L17" s="72"/>
      <c r="M17" s="72"/>
      <c r="N17" s="72"/>
      <c r="O17" s="72"/>
      <c r="P17" s="94"/>
    </row>
    <row r="18" spans="2:16" ht="30" x14ac:dyDescent="0.25">
      <c r="B18" s="19"/>
      <c r="C18" s="6"/>
      <c r="D18" s="6"/>
      <c r="E18" s="6"/>
      <c r="F18" s="4"/>
      <c r="G18" s="15" t="s">
        <v>11</v>
      </c>
      <c r="H18" s="52">
        <v>0.05</v>
      </c>
      <c r="I18" s="57" t="s">
        <v>45</v>
      </c>
      <c r="J18" s="58">
        <v>100</v>
      </c>
      <c r="K18" s="59" t="s">
        <v>75</v>
      </c>
      <c r="L18" s="70">
        <v>100</v>
      </c>
      <c r="M18" s="70">
        <f>5%*L18</f>
        <v>5</v>
      </c>
      <c r="N18" s="70">
        <v>100</v>
      </c>
      <c r="O18" s="70">
        <f>5%*N18</f>
        <v>5</v>
      </c>
      <c r="P18" s="89"/>
    </row>
    <row r="19" spans="2:16" ht="30" x14ac:dyDescent="0.25">
      <c r="B19" s="19"/>
      <c r="C19" s="6"/>
      <c r="D19" s="6"/>
      <c r="E19" s="6"/>
      <c r="F19" s="4"/>
      <c r="G19" s="15"/>
      <c r="H19" s="52"/>
      <c r="I19" s="57" t="s">
        <v>52</v>
      </c>
      <c r="J19" s="58">
        <v>50</v>
      </c>
      <c r="K19" s="60"/>
      <c r="L19" s="73"/>
      <c r="M19" s="73"/>
      <c r="N19" s="73"/>
      <c r="O19" s="73"/>
      <c r="P19" s="91"/>
    </row>
    <row r="20" spans="2:16" ht="64.5" customHeight="1" x14ac:dyDescent="0.25">
      <c r="B20" s="19"/>
      <c r="C20" s="6"/>
      <c r="D20" s="6"/>
      <c r="E20" s="6"/>
      <c r="F20" s="4"/>
      <c r="G20" s="15" t="s">
        <v>51</v>
      </c>
      <c r="H20" s="49">
        <v>0.05</v>
      </c>
      <c r="I20" s="61" t="s">
        <v>53</v>
      </c>
      <c r="J20" s="62">
        <v>100</v>
      </c>
      <c r="K20" s="47" t="s">
        <v>78</v>
      </c>
      <c r="L20" s="72">
        <v>100</v>
      </c>
      <c r="M20" s="72">
        <f>5%*L20</f>
        <v>5</v>
      </c>
      <c r="N20" s="72">
        <v>100</v>
      </c>
      <c r="O20" s="72">
        <f>5%*N20</f>
        <v>5</v>
      </c>
      <c r="P20" s="95" t="s">
        <v>134</v>
      </c>
    </row>
    <row r="21" spans="2:16" ht="63" customHeight="1" x14ac:dyDescent="0.25">
      <c r="B21" s="19"/>
      <c r="C21" s="6"/>
      <c r="D21" s="6"/>
      <c r="E21" s="6"/>
      <c r="F21" s="4"/>
      <c r="G21" s="15"/>
      <c r="H21" s="49"/>
      <c r="I21" s="61" t="s">
        <v>54</v>
      </c>
      <c r="J21" s="62">
        <v>50</v>
      </c>
      <c r="K21" s="48"/>
      <c r="L21" s="72"/>
      <c r="M21" s="72"/>
      <c r="N21" s="72"/>
      <c r="O21" s="72"/>
      <c r="P21" s="96"/>
    </row>
    <row r="22" spans="2:16" ht="24.6" customHeight="1" x14ac:dyDescent="0.25">
      <c r="B22" s="19"/>
      <c r="C22" s="6"/>
      <c r="D22" s="6"/>
      <c r="E22" s="6"/>
      <c r="F22" s="4"/>
      <c r="G22" s="15" t="s">
        <v>63</v>
      </c>
      <c r="H22" s="52">
        <v>0.05</v>
      </c>
      <c r="I22" s="85" t="s">
        <v>55</v>
      </c>
      <c r="J22" s="85"/>
      <c r="K22" s="63"/>
      <c r="L22" s="73"/>
      <c r="M22" s="73"/>
      <c r="N22" s="73"/>
      <c r="O22" s="73"/>
      <c r="P22" s="89" t="s">
        <v>141</v>
      </c>
    </row>
    <row r="23" spans="2:16" ht="63" customHeight="1" x14ac:dyDescent="0.25">
      <c r="B23" s="19"/>
      <c r="C23" s="6"/>
      <c r="D23" s="6"/>
      <c r="E23" s="6"/>
      <c r="F23" s="4"/>
      <c r="G23" s="15"/>
      <c r="H23" s="64"/>
      <c r="I23" s="65" t="s">
        <v>56</v>
      </c>
      <c r="J23" s="58">
        <v>100</v>
      </c>
      <c r="K23" s="63"/>
      <c r="L23" s="70">
        <v>100</v>
      </c>
      <c r="M23" s="70">
        <f>5%*((100+100)/3)</f>
        <v>3.3333333333333339</v>
      </c>
      <c r="N23" s="73"/>
      <c r="O23" s="73">
        <f>5%*((80+80)/3)</f>
        <v>2.666666666666667</v>
      </c>
      <c r="P23" s="90"/>
    </row>
    <row r="24" spans="2:16" ht="72" customHeight="1" x14ac:dyDescent="0.25">
      <c r="B24" s="19"/>
      <c r="C24" s="6"/>
      <c r="D24" s="6"/>
      <c r="E24" s="6"/>
      <c r="F24" s="4"/>
      <c r="G24" s="15"/>
      <c r="H24" s="52"/>
      <c r="I24" s="65" t="s">
        <v>57</v>
      </c>
      <c r="J24" s="58">
        <v>80</v>
      </c>
      <c r="K24" s="63"/>
      <c r="L24" s="63"/>
      <c r="M24" s="63"/>
      <c r="N24" s="70">
        <v>80</v>
      </c>
      <c r="O24" s="70"/>
      <c r="P24" s="90"/>
    </row>
    <row r="25" spans="2:16" ht="67.150000000000006" customHeight="1" x14ac:dyDescent="0.25">
      <c r="B25" s="19"/>
      <c r="C25" s="6"/>
      <c r="D25" s="6"/>
      <c r="E25" s="6"/>
      <c r="F25" s="4"/>
      <c r="G25" s="15"/>
      <c r="H25" s="52"/>
      <c r="I25" s="65" t="s">
        <v>58</v>
      </c>
      <c r="J25" s="58">
        <v>60</v>
      </c>
      <c r="K25" s="63"/>
      <c r="L25" s="74"/>
      <c r="M25" s="74"/>
      <c r="N25" s="73"/>
      <c r="O25" s="73"/>
      <c r="P25" s="91"/>
    </row>
    <row r="26" spans="2:16" ht="25.15" customHeight="1" x14ac:dyDescent="0.25">
      <c r="B26" s="19"/>
      <c r="C26" s="6"/>
      <c r="D26" s="6"/>
      <c r="E26" s="6"/>
      <c r="F26" s="4"/>
      <c r="G26" s="15"/>
      <c r="H26" s="52"/>
      <c r="I26" s="85" t="s">
        <v>59</v>
      </c>
      <c r="J26" s="85"/>
      <c r="K26" s="63"/>
      <c r="L26" s="73"/>
      <c r="M26" s="73"/>
      <c r="N26" s="73"/>
      <c r="O26" s="73"/>
      <c r="P26" s="79"/>
    </row>
    <row r="27" spans="2:16" ht="44.25" customHeight="1" x14ac:dyDescent="0.25">
      <c r="B27" s="19"/>
      <c r="C27" s="6"/>
      <c r="D27" s="6"/>
      <c r="E27" s="6"/>
      <c r="F27" s="4"/>
      <c r="G27" s="15"/>
      <c r="H27" s="52"/>
      <c r="I27" s="66" t="s">
        <v>82</v>
      </c>
      <c r="J27" s="58">
        <v>100</v>
      </c>
      <c r="K27" s="63"/>
      <c r="L27" s="70">
        <v>100</v>
      </c>
      <c r="M27" s="70"/>
      <c r="N27" s="73"/>
      <c r="O27" s="73"/>
      <c r="P27" s="80"/>
    </row>
    <row r="28" spans="2:16" ht="30" x14ac:dyDescent="0.25">
      <c r="B28" s="19"/>
      <c r="C28" s="6"/>
      <c r="D28" s="6"/>
      <c r="E28" s="6"/>
      <c r="F28" s="4"/>
      <c r="G28" s="15"/>
      <c r="H28" s="52"/>
      <c r="I28" s="66" t="s">
        <v>83</v>
      </c>
      <c r="J28" s="58">
        <v>80</v>
      </c>
      <c r="K28" s="63"/>
      <c r="L28" s="73"/>
      <c r="M28" s="73"/>
      <c r="N28" s="70">
        <v>80</v>
      </c>
      <c r="O28" s="70"/>
      <c r="P28" s="80"/>
    </row>
    <row r="29" spans="2:16" ht="30.75" customHeight="1" x14ac:dyDescent="0.25">
      <c r="B29" s="19"/>
      <c r="C29" s="6"/>
      <c r="D29" s="6"/>
      <c r="E29" s="6"/>
      <c r="F29" s="4"/>
      <c r="G29" s="15"/>
      <c r="H29" s="52"/>
      <c r="I29" s="66" t="s">
        <v>62</v>
      </c>
      <c r="J29" s="58">
        <v>60</v>
      </c>
      <c r="K29" s="63"/>
      <c r="L29" s="73"/>
      <c r="M29" s="73"/>
      <c r="N29" s="73"/>
      <c r="O29" s="73"/>
      <c r="P29" s="81"/>
    </row>
    <row r="30" spans="2:16" ht="30.75" customHeight="1" x14ac:dyDescent="0.25">
      <c r="B30" s="19"/>
      <c r="C30" s="6"/>
      <c r="D30" s="6"/>
      <c r="E30" s="6"/>
      <c r="F30" s="4"/>
      <c r="G30" s="15"/>
      <c r="H30" s="52"/>
      <c r="I30" s="85" t="s">
        <v>64</v>
      </c>
      <c r="J30" s="85"/>
      <c r="K30" s="63"/>
      <c r="L30" s="73"/>
      <c r="M30" s="73"/>
      <c r="N30" s="73"/>
      <c r="O30" s="73"/>
      <c r="P30" s="97" t="s">
        <v>133</v>
      </c>
    </row>
    <row r="31" spans="2:16" ht="43.9" customHeight="1" x14ac:dyDescent="0.25">
      <c r="B31" s="19"/>
      <c r="C31" s="6"/>
      <c r="D31" s="6"/>
      <c r="E31" s="6"/>
      <c r="F31" s="4"/>
      <c r="G31" s="15"/>
      <c r="H31" s="52"/>
      <c r="I31" s="65" t="s">
        <v>88</v>
      </c>
      <c r="J31" s="58">
        <v>100</v>
      </c>
      <c r="K31" s="63"/>
      <c r="L31" s="73"/>
      <c r="M31" s="73"/>
      <c r="N31" s="73"/>
      <c r="O31" s="73"/>
      <c r="P31" s="98"/>
    </row>
    <row r="32" spans="2:16" ht="45" customHeight="1" x14ac:dyDescent="0.25">
      <c r="B32" s="19"/>
      <c r="C32" s="6"/>
      <c r="D32" s="6"/>
      <c r="E32" s="6"/>
      <c r="F32" s="4"/>
      <c r="G32" s="15"/>
      <c r="H32" s="52"/>
      <c r="I32" s="65" t="s">
        <v>89</v>
      </c>
      <c r="J32" s="58">
        <v>80</v>
      </c>
      <c r="K32" s="63"/>
      <c r="L32" s="73"/>
      <c r="M32" s="73"/>
      <c r="N32" s="73"/>
      <c r="O32" s="73"/>
      <c r="P32" s="98"/>
    </row>
    <row r="33" spans="2:16" ht="45.6" customHeight="1" x14ac:dyDescent="0.25">
      <c r="B33" s="19"/>
      <c r="C33" s="6"/>
      <c r="D33" s="6"/>
      <c r="E33" s="6"/>
      <c r="F33" s="4"/>
      <c r="G33" s="15"/>
      <c r="H33" s="52"/>
      <c r="I33" s="65" t="s">
        <v>90</v>
      </c>
      <c r="J33" s="58">
        <v>60</v>
      </c>
      <c r="K33" s="63"/>
      <c r="L33" s="73"/>
      <c r="M33" s="73"/>
      <c r="N33" s="73"/>
      <c r="O33" s="73"/>
      <c r="P33" s="98"/>
    </row>
    <row r="34" spans="2:16" ht="30" x14ac:dyDescent="0.25">
      <c r="B34" s="19"/>
      <c r="C34" s="6"/>
      <c r="D34" s="6"/>
      <c r="E34" s="6"/>
      <c r="F34" s="4"/>
      <c r="G34" s="15"/>
      <c r="H34" s="52"/>
      <c r="I34" s="65" t="s">
        <v>91</v>
      </c>
      <c r="J34" s="58">
        <v>40</v>
      </c>
      <c r="K34" s="63"/>
      <c r="L34" s="73"/>
      <c r="M34" s="73"/>
      <c r="N34" s="73"/>
      <c r="O34" s="73"/>
      <c r="P34" s="98"/>
    </row>
    <row r="35" spans="2:16" ht="44.45" customHeight="1" x14ac:dyDescent="0.25">
      <c r="B35" s="19"/>
      <c r="C35" s="6"/>
      <c r="D35" s="6"/>
      <c r="E35" s="6"/>
      <c r="F35" s="4"/>
      <c r="G35" s="15"/>
      <c r="H35" s="52"/>
      <c r="I35" s="66" t="s">
        <v>92</v>
      </c>
      <c r="J35" s="58">
        <v>0</v>
      </c>
      <c r="K35" s="63"/>
      <c r="L35" s="70">
        <v>0</v>
      </c>
      <c r="M35" s="70"/>
      <c r="N35" s="70">
        <v>0</v>
      </c>
      <c r="O35" s="70"/>
      <c r="P35" s="99"/>
    </row>
    <row r="36" spans="2:16" ht="30" x14ac:dyDescent="0.25">
      <c r="B36" s="19"/>
      <c r="C36" s="6"/>
      <c r="D36" s="6"/>
      <c r="E36" s="6" t="s">
        <v>12</v>
      </c>
      <c r="F36" s="8">
        <v>0.15</v>
      </c>
      <c r="G36" s="15" t="s">
        <v>13</v>
      </c>
      <c r="H36" s="49">
        <v>0.15</v>
      </c>
      <c r="I36" s="61" t="s">
        <v>46</v>
      </c>
      <c r="J36" s="51">
        <v>100</v>
      </c>
      <c r="K36" s="48"/>
      <c r="L36" s="72">
        <v>100</v>
      </c>
      <c r="M36" s="72">
        <f>15%*L36</f>
        <v>15</v>
      </c>
      <c r="N36" s="72"/>
      <c r="O36" s="72"/>
      <c r="P36" s="92"/>
    </row>
    <row r="37" spans="2:16" x14ac:dyDescent="0.25">
      <c r="B37" s="19"/>
      <c r="C37" s="6"/>
      <c r="D37" s="6"/>
      <c r="E37" s="6"/>
      <c r="F37" s="6"/>
      <c r="G37" s="15"/>
      <c r="H37" s="67"/>
      <c r="I37" s="61" t="s">
        <v>47</v>
      </c>
      <c r="J37" s="51">
        <v>75</v>
      </c>
      <c r="K37" s="48"/>
      <c r="L37" s="72"/>
      <c r="M37" s="72"/>
      <c r="N37" s="72"/>
      <c r="O37" s="72"/>
      <c r="P37" s="93"/>
    </row>
    <row r="38" spans="2:16" x14ac:dyDescent="0.25">
      <c r="B38" s="19"/>
      <c r="C38" s="6"/>
      <c r="D38" s="6" t="s">
        <v>35</v>
      </c>
      <c r="E38" s="6"/>
      <c r="F38" s="6"/>
      <c r="G38" s="15"/>
      <c r="H38" s="68"/>
      <c r="I38" s="61" t="s">
        <v>48</v>
      </c>
      <c r="J38" s="51">
        <v>50</v>
      </c>
      <c r="K38" s="48"/>
      <c r="L38" s="72"/>
      <c r="M38" s="72"/>
      <c r="N38" s="72">
        <v>50</v>
      </c>
      <c r="O38" s="72">
        <f>15%*N38</f>
        <v>7.5</v>
      </c>
      <c r="P38" s="93"/>
    </row>
    <row r="39" spans="2:16" x14ac:dyDescent="0.25">
      <c r="B39" s="19"/>
      <c r="C39" s="6"/>
      <c r="D39" s="6"/>
      <c r="E39" s="6"/>
      <c r="F39" s="6"/>
      <c r="G39" s="15"/>
      <c r="H39" s="68"/>
      <c r="I39" s="61" t="s">
        <v>49</v>
      </c>
      <c r="J39" s="51">
        <v>25</v>
      </c>
      <c r="K39" s="48"/>
      <c r="L39" s="72"/>
      <c r="M39" s="72"/>
      <c r="N39" s="72"/>
      <c r="O39" s="72"/>
      <c r="P39" s="93"/>
    </row>
    <row r="40" spans="2:16" x14ac:dyDescent="0.25">
      <c r="B40" s="19"/>
      <c r="C40" s="6"/>
      <c r="D40" s="6"/>
      <c r="E40" s="6"/>
      <c r="F40" s="6"/>
      <c r="G40" s="15"/>
      <c r="H40" s="68"/>
      <c r="I40" s="61" t="s">
        <v>50</v>
      </c>
      <c r="J40" s="51">
        <v>0</v>
      </c>
      <c r="K40" s="48"/>
      <c r="L40" s="72"/>
      <c r="M40" s="72"/>
      <c r="N40" s="72"/>
      <c r="O40" s="72"/>
      <c r="P40" s="94"/>
    </row>
    <row r="41" spans="2:16" x14ac:dyDescent="0.25">
      <c r="H41" s="18"/>
    </row>
    <row r="42" spans="2:16" x14ac:dyDescent="0.25">
      <c r="I42" s="13" t="s">
        <v>101</v>
      </c>
    </row>
    <row r="43" spans="2:16" x14ac:dyDescent="0.25">
      <c r="L43" s="77" t="s">
        <v>136</v>
      </c>
      <c r="M43" s="78">
        <v>80</v>
      </c>
      <c r="N43" s="77" t="s">
        <v>136</v>
      </c>
      <c r="O43" s="78">
        <f>O4</f>
        <v>100</v>
      </c>
    </row>
    <row r="44" spans="2:16" x14ac:dyDescent="0.25">
      <c r="L44" s="77" t="s">
        <v>137</v>
      </c>
      <c r="M44" s="78">
        <f>M10+M14+M18+M20+M23+M36</f>
        <v>93.588833333333326</v>
      </c>
      <c r="N44" s="77" t="s">
        <v>137</v>
      </c>
      <c r="O44" s="78">
        <f>O11+O14+O18+O20+O23+O38</f>
        <v>74.092666666666673</v>
      </c>
    </row>
    <row r="45" spans="2:16" x14ac:dyDescent="0.25">
      <c r="L45" s="77" t="s">
        <v>138</v>
      </c>
      <c r="M45" s="78">
        <f>(50%*M43)+(50%*M44)</f>
        <v>86.794416666666663</v>
      </c>
      <c r="N45" s="77" t="s">
        <v>139</v>
      </c>
      <c r="O45" s="78">
        <f>(50%*O43)+(50%*O44)</f>
        <v>87.046333333333337</v>
      </c>
    </row>
    <row r="46" spans="2:16" x14ac:dyDescent="0.25">
      <c r="L46" s="76"/>
      <c r="M46" s="76"/>
      <c r="N46" s="76"/>
      <c r="O46" s="76"/>
    </row>
    <row r="47" spans="2:16" x14ac:dyDescent="0.25">
      <c r="L47" s="76"/>
      <c r="M47" s="76"/>
      <c r="N47" s="76"/>
      <c r="O47" s="76"/>
    </row>
    <row r="48" spans="2:16" x14ac:dyDescent="0.25">
      <c r="L48" s="76"/>
      <c r="M48" s="76"/>
      <c r="N48" s="76"/>
      <c r="O48" s="76"/>
    </row>
    <row r="49" spans="12:15" x14ac:dyDescent="0.25">
      <c r="L49" s="76"/>
      <c r="M49" s="76"/>
      <c r="N49" s="76"/>
      <c r="O49" s="76"/>
    </row>
    <row r="50" spans="12:15" x14ac:dyDescent="0.25">
      <c r="L50" s="76"/>
      <c r="M50" s="76"/>
      <c r="N50" s="76"/>
      <c r="O50" s="76"/>
    </row>
    <row r="51" spans="12:15" x14ac:dyDescent="0.25">
      <c r="L51" s="76"/>
      <c r="M51" s="76"/>
      <c r="N51" s="76"/>
      <c r="O51" s="76"/>
    </row>
    <row r="52" spans="12:15" x14ac:dyDescent="0.25">
      <c r="L52" s="76"/>
      <c r="M52" s="76"/>
      <c r="N52" s="76"/>
      <c r="O52" s="76"/>
    </row>
    <row r="53" spans="12:15" x14ac:dyDescent="0.25">
      <c r="L53" s="76"/>
      <c r="M53" s="76"/>
      <c r="N53" s="76"/>
      <c r="O53" s="76"/>
    </row>
    <row r="54" spans="12:15" x14ac:dyDescent="0.25">
      <c r="L54" s="76"/>
      <c r="M54" s="76"/>
      <c r="N54" s="76"/>
      <c r="O54" s="76"/>
    </row>
    <row r="55" spans="12:15" x14ac:dyDescent="0.25">
      <c r="L55" s="76"/>
      <c r="M55" s="76"/>
      <c r="N55" s="76"/>
      <c r="O55" s="76"/>
    </row>
    <row r="56" spans="12:15" x14ac:dyDescent="0.25">
      <c r="L56" s="76"/>
      <c r="M56" s="76"/>
      <c r="N56" s="76"/>
      <c r="O56" s="76"/>
    </row>
    <row r="57" spans="12:15" x14ac:dyDescent="0.25">
      <c r="L57" s="76"/>
      <c r="M57" s="76"/>
      <c r="N57" s="76"/>
      <c r="O57" s="76"/>
    </row>
    <row r="58" spans="12:15" x14ac:dyDescent="0.25">
      <c r="L58" s="76"/>
      <c r="M58" s="76"/>
      <c r="N58" s="76"/>
      <c r="O58" s="76"/>
    </row>
    <row r="59" spans="12:15" x14ac:dyDescent="0.25">
      <c r="L59" s="76"/>
      <c r="M59" s="76"/>
      <c r="N59" s="76"/>
      <c r="O59" s="76"/>
    </row>
    <row r="60" spans="12:15" x14ac:dyDescent="0.25">
      <c r="L60" s="76"/>
      <c r="M60" s="76"/>
      <c r="N60" s="76"/>
      <c r="O60" s="76"/>
    </row>
    <row r="61" spans="12:15" x14ac:dyDescent="0.25">
      <c r="L61" s="76"/>
      <c r="M61" s="76"/>
      <c r="N61" s="76"/>
      <c r="O61" s="76"/>
    </row>
    <row r="62" spans="12:15" x14ac:dyDescent="0.25">
      <c r="L62" s="76"/>
      <c r="M62" s="76"/>
      <c r="N62" s="76"/>
      <c r="O62" s="76"/>
    </row>
    <row r="63" spans="12:15" x14ac:dyDescent="0.25">
      <c r="L63" s="76"/>
      <c r="M63" s="76"/>
      <c r="N63" s="76"/>
      <c r="O63" s="76"/>
    </row>
    <row r="64" spans="12:15" x14ac:dyDescent="0.25">
      <c r="L64" s="76"/>
      <c r="M64" s="76"/>
      <c r="N64" s="76"/>
      <c r="O64" s="76"/>
    </row>
    <row r="65" spans="12:15" x14ac:dyDescent="0.25">
      <c r="L65" s="76"/>
      <c r="M65" s="76"/>
      <c r="N65" s="76"/>
      <c r="O65" s="76"/>
    </row>
    <row r="66" spans="12:15" x14ac:dyDescent="0.25">
      <c r="L66" s="76"/>
      <c r="M66" s="76"/>
      <c r="N66" s="76"/>
      <c r="O66" s="76"/>
    </row>
    <row r="67" spans="12:15" x14ac:dyDescent="0.25">
      <c r="L67" s="76"/>
      <c r="M67" s="76"/>
      <c r="N67" s="76"/>
      <c r="O67" s="76"/>
    </row>
  </sheetData>
  <mergeCells count="16">
    <mergeCell ref="P30:P35"/>
    <mergeCell ref="P36:P40"/>
    <mergeCell ref="I26:J26"/>
    <mergeCell ref="I30:J30"/>
    <mergeCell ref="P22:P25"/>
    <mergeCell ref="P26:P29"/>
    <mergeCell ref="B1:P1"/>
    <mergeCell ref="B2:P2"/>
    <mergeCell ref="C3:D3"/>
    <mergeCell ref="I3:J3"/>
    <mergeCell ref="I22:J22"/>
    <mergeCell ref="P4:P9"/>
    <mergeCell ref="P10:P12"/>
    <mergeCell ref="P13:P17"/>
    <mergeCell ref="P18:P19"/>
    <mergeCell ref="P20:P21"/>
  </mergeCells>
  <pageMargins left="0.25" right="0.25" top="0.75" bottom="0.75" header="0.3" footer="0.3"/>
  <pageSetup paperSize="9" scale="2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kerangka talent pool</vt:lpstr>
      <vt:lpstr>TALENT POOLdata-Dir Pengadaan</vt:lpstr>
      <vt:lpstr>TALENT POOLdata-Ka BP2JK</vt:lpstr>
      <vt:lpstr>TALENT POOLdata-kdsbt sist</vt:lpstr>
      <vt:lpstr>edit talet pool dir pengadaan</vt:lpstr>
      <vt:lpstr>Persyaratan Jabatan</vt:lpstr>
      <vt:lpstr>Sample</vt:lpstr>
      <vt:lpstr>'edit talet pool dir pengadaan'!Print_Area</vt:lpstr>
      <vt:lpstr>'edit talet pool dir pengadaan'!Print_Titles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Ully Rachmawati</dc:creator>
  <cp:lastModifiedBy>Ully Rachmawati</cp:lastModifiedBy>
  <cp:lastPrinted>2026-08-03T08:32:18Z</cp:lastPrinted>
  <dcterms:created xsi:type="dcterms:W3CDTF">2026-07-13T04:45:09Z</dcterms:created>
  <dcterms:modified xsi:type="dcterms:W3CDTF">2026-08-04T05:53:04Z</dcterms:modified>
</cp:coreProperties>
</file>